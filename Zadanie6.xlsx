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ol\Documents\Matura2023\"/>
    </mc:Choice>
  </mc:AlternateContent>
  <xr:revisionPtr revIDLastSave="0" documentId="8_{840A3B82-CB92-4534-ADB7-DE85CC55F009}" xr6:coauthVersionLast="47" xr6:coauthVersionMax="47" xr10:uidLastSave="{00000000-0000-0000-0000-000000000000}"/>
  <bookViews>
    <workbookView xWindow="-120" yWindow="-120" windowWidth="29040" windowHeight="15720" activeTab="3" xr2:uid="{D46D299F-F129-411D-AE1B-0E2570EE088A}"/>
  </bookViews>
  <sheets>
    <sheet name="owoce" sheetId="2" r:id="rId1"/>
    <sheet name="6.1" sheetId="3" r:id="rId2"/>
    <sheet name="Suma 6.2" sheetId="1" r:id="rId3"/>
    <sheet name="6.3 i 6.4" sheetId="4" r:id="rId4"/>
  </sheets>
  <definedNames>
    <definedName name="ExternalData_1" localSheetId="0" hidden="1">owoce!$A$1:$D$154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4" l="1"/>
  <c r="L5" i="4"/>
  <c r="K5" i="4"/>
  <c r="M3" i="4"/>
  <c r="L3" i="4"/>
  <c r="K3" i="4"/>
  <c r="H5" i="4"/>
  <c r="G4" i="4"/>
  <c r="E4" i="4"/>
  <c r="F4" i="4"/>
  <c r="G3" i="4"/>
  <c r="H4" i="4" s="1"/>
  <c r="F3" i="4"/>
  <c r="E3" i="4"/>
  <c r="J3" i="4"/>
  <c r="I3" i="4"/>
  <c r="H3" i="4"/>
  <c r="G2" i="4"/>
  <c r="F2" i="4"/>
  <c r="E2" i="4"/>
  <c r="H2" i="4"/>
  <c r="D15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2" i="1"/>
  <c r="J4" i="4" l="1"/>
  <c r="I4" i="4"/>
  <c r="J5" i="4" l="1"/>
  <c r="I5" i="4" l="1"/>
  <c r="G5" i="4" s="1"/>
  <c r="F5" i="4" l="1"/>
  <c r="J6" i="4" s="1"/>
  <c r="E5" i="4"/>
  <c r="I6" i="4" l="1"/>
  <c r="G6" i="4" s="1"/>
  <c r="H6" i="4"/>
  <c r="F6" i="4" s="1"/>
  <c r="E6" i="4" l="1"/>
  <c r="H7" i="4" s="1"/>
  <c r="J7" i="4"/>
  <c r="I7" i="4"/>
  <c r="F7" i="4" l="1"/>
  <c r="G7" i="4"/>
  <c r="E7" i="4"/>
  <c r="J8" i="4" s="1"/>
  <c r="I8" i="4" l="1"/>
  <c r="G8" i="4" s="1"/>
  <c r="H8" i="4"/>
  <c r="E8" i="4" s="1"/>
  <c r="F8" i="4" l="1"/>
  <c r="H9" i="4"/>
  <c r="I9" i="4" l="1"/>
  <c r="J9" i="4"/>
  <c r="F9" i="4" s="1"/>
  <c r="E9" i="4" l="1"/>
  <c r="I10" i="4" s="1"/>
  <c r="G9" i="4"/>
  <c r="H10" i="4" l="1"/>
  <c r="J10" i="4"/>
  <c r="G10" i="4" s="1"/>
  <c r="E10" i="4"/>
  <c r="F10" i="4" l="1"/>
  <c r="I11" i="4"/>
  <c r="J11" i="4"/>
  <c r="H11" i="4"/>
  <c r="F11" i="4" l="1"/>
  <c r="G11" i="4"/>
  <c r="E11" i="4"/>
  <c r="I12" i="4"/>
  <c r="H12" i="4" l="1"/>
  <c r="E12" i="4" s="1"/>
  <c r="J12" i="4"/>
  <c r="G12" i="4" s="1"/>
  <c r="F12" i="4" l="1"/>
  <c r="J13" i="4" s="1"/>
  <c r="I13" i="4" l="1"/>
  <c r="G13" i="4" s="1"/>
  <c r="H13" i="4"/>
  <c r="F13" i="4" l="1"/>
  <c r="H14" i="4" s="1"/>
  <c r="E13" i="4"/>
  <c r="J14" i="4" l="1"/>
  <c r="I14" i="4"/>
  <c r="G14" i="4" s="1"/>
  <c r="F14" i="4"/>
  <c r="E14" i="4" l="1"/>
  <c r="H15" i="4" s="1"/>
  <c r="J15" i="4"/>
  <c r="F15" i="4" s="1"/>
  <c r="I15" i="4"/>
  <c r="E15" i="4" l="1"/>
  <c r="G15" i="4"/>
  <c r="H16" i="4"/>
  <c r="J16" i="4" l="1"/>
  <c r="F16" i="4" s="1"/>
  <c r="I16" i="4"/>
  <c r="G16" i="4" s="1"/>
  <c r="E16" i="4" l="1"/>
  <c r="J17" i="4"/>
  <c r="I17" i="4"/>
  <c r="G17" i="4" s="1"/>
  <c r="H17" i="4"/>
  <c r="F17" i="4" s="1"/>
  <c r="E17" i="4" l="1"/>
  <c r="H18" i="4" s="1"/>
  <c r="I18" i="4"/>
  <c r="G18" i="4" s="1"/>
  <c r="J18" i="4"/>
  <c r="E18" i="4" l="1"/>
  <c r="F18" i="4"/>
  <c r="J19" i="4"/>
  <c r="H19" i="4" l="1"/>
  <c r="F19" i="4" s="1"/>
  <c r="I19" i="4"/>
  <c r="G19" i="4" s="1"/>
  <c r="E19" i="4" l="1"/>
  <c r="J20" i="4"/>
  <c r="H20" i="4" l="1"/>
  <c r="F20" i="4" s="1"/>
  <c r="I20" i="4"/>
  <c r="G20" i="4" s="1"/>
  <c r="E20" i="4" l="1"/>
  <c r="H21" i="4"/>
  <c r="J21" i="4" l="1"/>
  <c r="F21" i="4" s="1"/>
  <c r="I21" i="4"/>
  <c r="G21" i="4" s="1"/>
  <c r="E21" i="4" l="1"/>
  <c r="H22" i="4"/>
  <c r="I22" i="4" l="1"/>
  <c r="J22" i="4"/>
  <c r="F22" i="4" s="1"/>
  <c r="E22" i="4" l="1"/>
  <c r="G22" i="4"/>
  <c r="I23" i="4"/>
  <c r="J23" i="4"/>
  <c r="H23" i="4"/>
  <c r="G23" i="4" l="1"/>
  <c r="F23" i="4"/>
  <c r="E23" i="4"/>
  <c r="I24" i="4" l="1"/>
  <c r="J24" i="4"/>
  <c r="H24" i="4"/>
  <c r="E24" i="4" s="1"/>
  <c r="G24" i="4" l="1"/>
  <c r="F24" i="4"/>
  <c r="I25" i="4" l="1"/>
  <c r="J25" i="4"/>
  <c r="H25" i="4"/>
  <c r="G25" i="4" l="1"/>
  <c r="F25" i="4"/>
  <c r="E25" i="4"/>
  <c r="I26" i="4" l="1"/>
  <c r="J26" i="4"/>
  <c r="H26" i="4"/>
  <c r="G26" i="4" l="1"/>
  <c r="I27" i="4" s="1"/>
  <c r="F26" i="4"/>
  <c r="E26" i="4"/>
  <c r="J27" i="4" l="1"/>
  <c r="G27" i="4" s="1"/>
  <c r="H27" i="4"/>
  <c r="F27" i="4" s="1"/>
  <c r="E27" i="4" l="1"/>
  <c r="H28" i="4"/>
  <c r="J28" i="4" l="1"/>
  <c r="F28" i="4" s="1"/>
  <c r="I28" i="4"/>
  <c r="G28" i="4" s="1"/>
  <c r="E28" i="4" l="1"/>
  <c r="I29" i="4"/>
  <c r="H29" i="4" l="1"/>
  <c r="E29" i="4" s="1"/>
  <c r="J29" i="4"/>
  <c r="G29" i="4" s="1"/>
  <c r="F29" i="4" l="1"/>
  <c r="H30" i="4" l="1"/>
  <c r="I30" i="4"/>
  <c r="J30" i="4"/>
  <c r="G30" i="4" l="1"/>
  <c r="E30" i="4"/>
  <c r="F30" i="4"/>
  <c r="J31" i="4"/>
  <c r="H31" i="4" l="1"/>
  <c r="F31" i="4" s="1"/>
  <c r="I31" i="4"/>
  <c r="G31" i="4" s="1"/>
  <c r="E31" i="4" l="1"/>
  <c r="H32" i="4"/>
  <c r="J32" i="4" l="1"/>
  <c r="F32" i="4" s="1"/>
  <c r="I32" i="4"/>
  <c r="G32" i="4" s="1"/>
  <c r="E32" i="4" l="1"/>
  <c r="H33" i="4"/>
  <c r="J33" i="4" l="1"/>
  <c r="F33" i="4" s="1"/>
  <c r="I33" i="4"/>
  <c r="G33" i="4" s="1"/>
  <c r="E33" i="4" l="1"/>
  <c r="J34" i="4"/>
  <c r="H34" i="4" l="1"/>
  <c r="F34" i="4" s="1"/>
  <c r="I34" i="4"/>
  <c r="G34" i="4" s="1"/>
  <c r="E34" i="4" l="1"/>
  <c r="J35" i="4"/>
  <c r="H35" i="4" l="1"/>
  <c r="F35" i="4" s="1"/>
  <c r="I35" i="4"/>
  <c r="G35" i="4" s="1"/>
  <c r="E35" i="4" l="1"/>
  <c r="J36" i="4"/>
  <c r="I36" i="4"/>
  <c r="G36" i="4" s="1"/>
  <c r="H36" i="4"/>
  <c r="F36" i="4" s="1"/>
  <c r="E36" i="4" l="1"/>
  <c r="J37" i="4"/>
  <c r="I37" i="4" l="1"/>
  <c r="G37" i="4" s="1"/>
  <c r="H37" i="4"/>
  <c r="F37" i="4" s="1"/>
  <c r="E37" i="4" l="1"/>
  <c r="H38" i="4"/>
  <c r="I38" i="4"/>
  <c r="J38" i="4"/>
  <c r="G38" i="4" l="1"/>
  <c r="E38" i="4"/>
  <c r="F38" i="4"/>
  <c r="J39" i="4" s="1"/>
  <c r="H39" i="4" l="1"/>
  <c r="F39" i="4" s="1"/>
  <c r="I39" i="4"/>
  <c r="G39" i="4" s="1"/>
  <c r="E39" i="4" l="1"/>
  <c r="I40" i="4"/>
  <c r="H40" i="4" l="1"/>
  <c r="E40" i="4" s="1"/>
  <c r="J40" i="4"/>
  <c r="G40" i="4" s="1"/>
  <c r="F40" i="4" l="1"/>
  <c r="J41" i="4"/>
  <c r="H41" i="4" l="1"/>
  <c r="I41" i="4"/>
  <c r="G41" i="4" s="1"/>
  <c r="F41" i="4" l="1"/>
  <c r="E41" i="4"/>
  <c r="H42" i="4"/>
  <c r="J42" i="4" l="1"/>
  <c r="F42" i="4" s="1"/>
  <c r="I42" i="4"/>
  <c r="E42" i="4" l="1"/>
  <c r="G42" i="4"/>
  <c r="J43" i="4"/>
  <c r="I43" i="4" l="1"/>
  <c r="G43" i="4" s="1"/>
  <c r="H43" i="4"/>
  <c r="F43" i="4" l="1"/>
  <c r="E43" i="4"/>
  <c r="H44" i="4"/>
  <c r="J44" i="4"/>
  <c r="I44" i="4"/>
  <c r="G44" i="4" l="1"/>
  <c r="E44" i="4"/>
  <c r="F44" i="4"/>
  <c r="J45" i="4"/>
  <c r="H45" i="4" l="1"/>
  <c r="F45" i="4" s="1"/>
  <c r="I45" i="4"/>
  <c r="G45" i="4" s="1"/>
  <c r="E45" i="4" l="1"/>
  <c r="J46" i="4"/>
  <c r="I46" i="4"/>
  <c r="G46" i="4" s="1"/>
  <c r="H46" i="4"/>
  <c r="F46" i="4" s="1"/>
  <c r="E46" i="4" l="1"/>
  <c r="J47" i="4"/>
  <c r="H47" i="4" l="1"/>
  <c r="F47" i="4" s="1"/>
  <c r="I47" i="4"/>
  <c r="G47" i="4" s="1"/>
  <c r="E47" i="4" l="1"/>
  <c r="H48" i="4"/>
  <c r="J48" i="4" l="1"/>
  <c r="F48" i="4" s="1"/>
  <c r="I48" i="4"/>
  <c r="G48" i="4" s="1"/>
  <c r="E48" i="4" l="1"/>
  <c r="J49" i="4"/>
  <c r="I49" i="4"/>
  <c r="G49" i="4" s="1"/>
  <c r="H49" i="4"/>
  <c r="F49" i="4" s="1"/>
  <c r="E49" i="4" l="1"/>
  <c r="J50" i="4"/>
  <c r="H50" i="4" l="1"/>
  <c r="F50" i="4" s="1"/>
  <c r="I50" i="4"/>
  <c r="G50" i="4" s="1"/>
  <c r="E50" i="4" l="1"/>
  <c r="J51" i="4"/>
  <c r="H51" i="4" l="1"/>
  <c r="F51" i="4" s="1"/>
  <c r="I51" i="4"/>
  <c r="G51" i="4" s="1"/>
  <c r="E51" i="4" l="1"/>
  <c r="J52" i="4" s="1"/>
  <c r="H52" i="4" l="1"/>
  <c r="F52" i="4" s="1"/>
  <c r="I52" i="4"/>
  <c r="G52" i="4" s="1"/>
  <c r="E52" i="4" l="1"/>
  <c r="H53" i="4"/>
  <c r="J53" i="4" l="1"/>
  <c r="F53" i="4" s="1"/>
  <c r="I53" i="4"/>
  <c r="G53" i="4" s="1"/>
  <c r="E53" i="4" l="1"/>
  <c r="H54" i="4"/>
  <c r="I54" i="4" l="1"/>
  <c r="J54" i="4"/>
  <c r="F54" i="4" s="1"/>
  <c r="E54" i="4" l="1"/>
  <c r="G54" i="4"/>
  <c r="H55" i="4"/>
  <c r="J55" i="4"/>
  <c r="I55" i="4"/>
  <c r="G55" i="4" l="1"/>
  <c r="E55" i="4"/>
  <c r="F55" i="4"/>
  <c r="H56" i="4"/>
  <c r="J56" i="4" l="1"/>
  <c r="F56" i="4" s="1"/>
  <c r="I56" i="4"/>
  <c r="E56" i="4" l="1"/>
  <c r="G56" i="4"/>
  <c r="J57" i="4"/>
  <c r="I57" i="4"/>
  <c r="G57" i="4" s="1"/>
  <c r="H57" i="4"/>
  <c r="F57" i="4" l="1"/>
  <c r="E57" i="4"/>
  <c r="H58" i="4"/>
  <c r="J58" i="4" l="1"/>
  <c r="F58" i="4" s="1"/>
  <c r="I58" i="4"/>
  <c r="G58" i="4" s="1"/>
  <c r="E58" i="4" l="1"/>
  <c r="I59" i="4" s="1"/>
  <c r="H59" i="4"/>
  <c r="J59" i="4"/>
  <c r="G59" i="4" l="1"/>
  <c r="E59" i="4"/>
  <c r="F59" i="4"/>
  <c r="I60" i="4" l="1"/>
  <c r="J60" i="4"/>
  <c r="H60" i="4"/>
  <c r="F60" i="4" s="1"/>
  <c r="G60" i="4" l="1"/>
  <c r="E60" i="4"/>
  <c r="I61" i="4"/>
  <c r="H61" i="4" l="1"/>
  <c r="E61" i="4" s="1"/>
  <c r="J61" i="4"/>
  <c r="G61" i="4" s="1"/>
  <c r="F61" i="4" l="1"/>
  <c r="J62" i="4"/>
  <c r="H62" i="4" l="1"/>
  <c r="I62" i="4"/>
  <c r="G62" i="4" s="1"/>
  <c r="F62" i="4" l="1"/>
  <c r="E62" i="4"/>
  <c r="J63" i="4"/>
  <c r="H63" i="4" l="1"/>
  <c r="F63" i="4" s="1"/>
  <c r="I63" i="4"/>
  <c r="G63" i="4" s="1"/>
  <c r="E63" i="4" l="1"/>
  <c r="H64" i="4"/>
  <c r="J64" i="4"/>
  <c r="I64" i="4"/>
  <c r="G64" i="4" s="1"/>
  <c r="E64" i="4" l="1"/>
  <c r="F64" i="4"/>
  <c r="J65" i="4"/>
  <c r="I65" i="4" l="1"/>
  <c r="G65" i="4" s="1"/>
  <c r="H65" i="4"/>
  <c r="F65" i="4" s="1"/>
  <c r="E65" i="4" l="1"/>
  <c r="J66" i="4"/>
  <c r="I66" i="4"/>
  <c r="G66" i="4" s="1"/>
  <c r="H66" i="4" l="1"/>
  <c r="F66" i="4" s="1"/>
  <c r="E66" i="4" l="1"/>
  <c r="I67" i="4"/>
  <c r="J67" i="4"/>
  <c r="H67" i="4"/>
  <c r="F67" i="4" l="1"/>
  <c r="G67" i="4"/>
  <c r="E67" i="4"/>
  <c r="H68" i="4"/>
  <c r="J68" i="4" l="1"/>
  <c r="F68" i="4" s="1"/>
  <c r="I68" i="4"/>
  <c r="G68" i="4" s="1"/>
  <c r="E68" i="4" l="1"/>
  <c r="H69" i="4" s="1"/>
  <c r="I69" i="4"/>
  <c r="J69" i="4"/>
  <c r="G69" i="4" l="1"/>
  <c r="E69" i="4"/>
  <c r="F69" i="4"/>
  <c r="J70" i="4" l="1"/>
  <c r="H70" i="4"/>
  <c r="F70" i="4" s="1"/>
  <c r="I70" i="4"/>
  <c r="G70" i="4" s="1"/>
  <c r="E70" i="4" l="1"/>
  <c r="H71" i="4"/>
  <c r="I71" i="4" l="1"/>
  <c r="J71" i="4"/>
  <c r="F71" i="4" s="1"/>
  <c r="E71" i="4" l="1"/>
  <c r="J72" i="4" s="1"/>
  <c r="G71" i="4"/>
  <c r="H72" i="4" l="1"/>
  <c r="I72" i="4"/>
  <c r="G72" i="4" s="1"/>
  <c r="F72" i="4" l="1"/>
  <c r="E72" i="4"/>
  <c r="H73" i="4"/>
  <c r="J73" i="4" l="1"/>
  <c r="F73" i="4" s="1"/>
  <c r="I73" i="4"/>
  <c r="G73" i="4" l="1"/>
  <c r="E73" i="4"/>
  <c r="J74" i="4"/>
  <c r="I74" i="4"/>
  <c r="G74" i="4" s="1"/>
  <c r="H74" i="4"/>
  <c r="F74" i="4" s="1"/>
  <c r="E74" i="4" l="1"/>
  <c r="J75" i="4"/>
  <c r="I75" i="4" l="1"/>
  <c r="G75" i="4" s="1"/>
  <c r="H75" i="4"/>
  <c r="F75" i="4" s="1"/>
  <c r="E75" i="4" l="1"/>
  <c r="H76" i="4"/>
  <c r="I76" i="4"/>
  <c r="J76" i="4"/>
  <c r="G76" i="4" l="1"/>
  <c r="E76" i="4"/>
  <c r="F76" i="4"/>
  <c r="J77" i="4" l="1"/>
  <c r="H77" i="4"/>
  <c r="F77" i="4" s="1"/>
  <c r="I77" i="4"/>
  <c r="G77" i="4" s="1"/>
  <c r="E77" i="4" l="1"/>
  <c r="J78" i="4"/>
  <c r="H78" i="4" l="1"/>
  <c r="F78" i="4" s="1"/>
  <c r="I78" i="4"/>
  <c r="G78" i="4" s="1"/>
  <c r="E78" i="4" l="1"/>
  <c r="J79" i="4"/>
  <c r="H79" i="4" l="1"/>
  <c r="F79" i="4" s="1"/>
  <c r="I79" i="4"/>
  <c r="G79" i="4" s="1"/>
  <c r="E79" i="4" l="1"/>
  <c r="I80" i="4"/>
  <c r="H80" i="4"/>
  <c r="J80" i="4"/>
  <c r="F80" i="4" l="1"/>
  <c r="G80" i="4"/>
  <c r="E80" i="4"/>
  <c r="H81" i="4"/>
  <c r="I81" i="4"/>
  <c r="E81" i="4" l="1"/>
  <c r="J81" i="4"/>
  <c r="F81" i="4" s="1"/>
  <c r="G81" i="4" l="1"/>
  <c r="H82" i="4" s="1"/>
  <c r="J82" i="4" l="1"/>
  <c r="F82" i="4" s="1"/>
  <c r="I82" i="4"/>
  <c r="G82" i="4" s="1"/>
  <c r="E82" i="4" l="1"/>
  <c r="J83" i="4"/>
  <c r="H83" i="4" l="1"/>
  <c r="F83" i="4" s="1"/>
  <c r="I83" i="4"/>
  <c r="G83" i="4" s="1"/>
  <c r="E83" i="4" l="1"/>
  <c r="J84" i="4" s="1"/>
  <c r="H84" i="4" l="1"/>
  <c r="F84" i="4" s="1"/>
  <c r="I84" i="4"/>
  <c r="G84" i="4" s="1"/>
  <c r="E84" i="4" l="1"/>
  <c r="J85" i="4" s="1"/>
  <c r="I85" i="4" l="1"/>
  <c r="G85" i="4" s="1"/>
  <c r="H85" i="4"/>
  <c r="F85" i="4" s="1"/>
  <c r="E85" i="4" l="1"/>
  <c r="H86" i="4"/>
  <c r="I86" i="4"/>
  <c r="J86" i="4"/>
  <c r="G86" i="4" l="1"/>
  <c r="E86" i="4"/>
  <c r="F86" i="4"/>
  <c r="I87" i="4" l="1"/>
  <c r="J87" i="4"/>
  <c r="H87" i="4"/>
  <c r="F87" i="4" l="1"/>
  <c r="G87" i="4"/>
  <c r="E87" i="4"/>
  <c r="J88" i="4"/>
  <c r="H88" i="4" l="1"/>
  <c r="F88" i="4" s="1"/>
  <c r="I88" i="4"/>
  <c r="G88" i="4" s="1"/>
  <c r="E88" i="4" l="1"/>
  <c r="J89" i="4"/>
  <c r="H89" i="4" l="1"/>
  <c r="F89" i="4" s="1"/>
  <c r="I89" i="4"/>
  <c r="G89" i="4" s="1"/>
  <c r="E89" i="4" l="1"/>
  <c r="H90" i="4"/>
  <c r="J90" i="4" l="1"/>
  <c r="F90" i="4" s="1"/>
  <c r="I90" i="4"/>
  <c r="G90" i="4" s="1"/>
  <c r="E90" i="4" l="1"/>
  <c r="J91" i="4"/>
  <c r="I91" i="4" l="1"/>
  <c r="G91" i="4" s="1"/>
  <c r="H91" i="4"/>
  <c r="F91" i="4" s="1"/>
  <c r="E91" i="4" l="1"/>
  <c r="J92" i="4"/>
  <c r="I92" i="4" l="1"/>
  <c r="G92" i="4" s="1"/>
  <c r="H92" i="4"/>
  <c r="F92" i="4" s="1"/>
  <c r="E92" i="4" l="1"/>
  <c r="H93" i="4"/>
  <c r="I93" i="4"/>
  <c r="J93" i="4"/>
  <c r="G93" i="4" l="1"/>
  <c r="E93" i="4"/>
  <c r="F93" i="4"/>
  <c r="I94" i="4" l="1"/>
  <c r="J94" i="4"/>
  <c r="H94" i="4"/>
  <c r="F94" i="4" s="1"/>
  <c r="G94" i="4" l="1"/>
  <c r="E94" i="4"/>
  <c r="J95" i="4" l="1"/>
  <c r="H95" i="4"/>
  <c r="F95" i="4" s="1"/>
  <c r="I95" i="4"/>
  <c r="G95" i="4" s="1"/>
  <c r="E95" i="4" l="1"/>
  <c r="J96" i="4"/>
  <c r="H96" i="4" l="1"/>
  <c r="F96" i="4" s="1"/>
  <c r="I96" i="4"/>
  <c r="G96" i="4" s="1"/>
  <c r="E96" i="4" l="1"/>
  <c r="J97" i="4" s="1"/>
  <c r="I97" i="4" l="1"/>
  <c r="G97" i="4" s="1"/>
  <c r="H97" i="4"/>
  <c r="E97" i="4" s="1"/>
  <c r="F97" i="4" l="1"/>
  <c r="H98" i="4"/>
  <c r="I98" i="4" l="1"/>
  <c r="J98" i="4"/>
  <c r="F98" i="4" s="1"/>
  <c r="E98" i="4" l="1"/>
  <c r="G98" i="4"/>
  <c r="I99" i="4"/>
  <c r="J99" i="4" l="1"/>
  <c r="G99" i="4" s="1"/>
  <c r="H99" i="4"/>
  <c r="F99" i="4" l="1"/>
  <c r="E99" i="4"/>
  <c r="H100" i="4" l="1"/>
  <c r="I100" i="4"/>
  <c r="J100" i="4"/>
  <c r="F100" i="4" s="1"/>
  <c r="E100" i="4" l="1"/>
  <c r="G100" i="4"/>
  <c r="J101" i="4"/>
  <c r="I101" i="4" l="1"/>
  <c r="G101" i="4" s="1"/>
  <c r="H101" i="4"/>
  <c r="F101" i="4" l="1"/>
  <c r="E101" i="4"/>
  <c r="J102" i="4"/>
  <c r="H102" i="4" l="1"/>
  <c r="F102" i="4" s="1"/>
  <c r="I102" i="4"/>
  <c r="G102" i="4" s="1"/>
  <c r="E102" i="4" l="1"/>
  <c r="H103" i="4"/>
  <c r="J103" i="4" l="1"/>
  <c r="F103" i="4" s="1"/>
  <c r="I103" i="4"/>
  <c r="G103" i="4" s="1"/>
  <c r="E103" i="4" l="1"/>
  <c r="J104" i="4"/>
  <c r="I104" i="4" l="1"/>
  <c r="G104" i="4" s="1"/>
  <c r="H104" i="4"/>
  <c r="F104" i="4" s="1"/>
  <c r="E104" i="4" l="1"/>
  <c r="J105" i="4"/>
  <c r="I105" i="4"/>
  <c r="G105" i="4" s="1"/>
  <c r="H105" i="4" l="1"/>
  <c r="F105" i="4" s="1"/>
  <c r="E105" i="4" l="1"/>
  <c r="I106" i="4"/>
  <c r="J106" i="4" l="1"/>
  <c r="G106" i="4" s="1"/>
  <c r="H106" i="4"/>
  <c r="F106" i="4" s="1"/>
  <c r="E106" i="4" l="1"/>
  <c r="J107" i="4"/>
  <c r="I107" i="4"/>
  <c r="G107" i="4" s="1"/>
  <c r="H107" i="4" l="1"/>
  <c r="F107" i="4" s="1"/>
  <c r="E107" i="4" l="1"/>
  <c r="J108" i="4"/>
  <c r="H108" i="4" l="1"/>
  <c r="F108" i="4" s="1"/>
  <c r="I108" i="4"/>
  <c r="G108" i="4" s="1"/>
  <c r="E108" i="4" l="1"/>
  <c r="H109" i="4"/>
  <c r="J109" i="4" l="1"/>
  <c r="F109" i="4" s="1"/>
  <c r="I109" i="4"/>
  <c r="G109" i="4" s="1"/>
  <c r="E109" i="4" l="1"/>
  <c r="H110" i="4"/>
  <c r="I110" i="4"/>
  <c r="J110" i="4"/>
  <c r="G110" i="4" l="1"/>
  <c r="E110" i="4"/>
  <c r="F110" i="4"/>
  <c r="J111" i="4"/>
  <c r="H111" i="4" l="1"/>
  <c r="F111" i="4" s="1"/>
  <c r="I111" i="4"/>
  <c r="G111" i="4" s="1"/>
  <c r="E111" i="4" l="1"/>
  <c r="J112" i="4"/>
  <c r="H112" i="4" l="1"/>
  <c r="F112" i="4" s="1"/>
  <c r="I112" i="4"/>
  <c r="G112" i="4" s="1"/>
  <c r="E112" i="4" l="1"/>
  <c r="H113" i="4"/>
  <c r="J113" i="4" l="1"/>
  <c r="F113" i="4" s="1"/>
  <c r="I113" i="4"/>
  <c r="G113" i="4" s="1"/>
  <c r="E113" i="4" l="1"/>
  <c r="I114" i="4"/>
  <c r="J114" i="4"/>
  <c r="H114" i="4"/>
  <c r="G114" i="4" l="1"/>
  <c r="F114" i="4"/>
  <c r="E114" i="4"/>
  <c r="J115" i="4"/>
  <c r="I115" i="4" l="1"/>
  <c r="G115" i="4" s="1"/>
  <c r="H115" i="4"/>
  <c r="F115" i="4" s="1"/>
  <c r="E115" i="4" l="1"/>
  <c r="J116" i="4"/>
  <c r="I116" i="4" l="1"/>
  <c r="G116" i="4" s="1"/>
  <c r="H116" i="4"/>
  <c r="F116" i="4" s="1"/>
  <c r="E116" i="4" l="1"/>
  <c r="I117" i="4"/>
  <c r="H117" i="4"/>
  <c r="J117" i="4"/>
  <c r="G117" i="4" l="1"/>
  <c r="E117" i="4"/>
  <c r="F117" i="4"/>
  <c r="I118" i="4" l="1"/>
  <c r="J118" i="4"/>
  <c r="H118" i="4"/>
  <c r="G118" i="4" l="1"/>
  <c r="F118" i="4"/>
  <c r="E118" i="4"/>
  <c r="I119" i="4" l="1"/>
  <c r="J119" i="4"/>
  <c r="H119" i="4"/>
  <c r="E119" i="4" s="1"/>
  <c r="G119" i="4" l="1"/>
  <c r="F119" i="4"/>
  <c r="J120" i="4" l="1"/>
  <c r="I120" i="4"/>
  <c r="G120" i="4" s="1"/>
  <c r="H120" i="4"/>
  <c r="F120" i="4" l="1"/>
  <c r="E120" i="4"/>
  <c r="I121" i="4"/>
  <c r="H121" i="4" l="1"/>
  <c r="E121" i="4" s="1"/>
  <c r="J121" i="4"/>
  <c r="G121" i="4" s="1"/>
  <c r="F121" i="4" l="1"/>
  <c r="J122" i="4"/>
  <c r="I122" i="4" l="1"/>
  <c r="G122" i="4" s="1"/>
  <c r="H122" i="4"/>
  <c r="F122" i="4" l="1"/>
  <c r="E122" i="4"/>
  <c r="H123" i="4"/>
  <c r="J123" i="4" l="1"/>
  <c r="F123" i="4" s="1"/>
  <c r="I123" i="4"/>
  <c r="G123" i="4" s="1"/>
  <c r="E123" i="4" l="1"/>
  <c r="J124" i="4"/>
  <c r="H124" i="4" l="1"/>
  <c r="F124" i="4" s="1"/>
  <c r="I124" i="4"/>
  <c r="G124" i="4" s="1"/>
  <c r="E124" i="4" l="1"/>
  <c r="J125" i="4"/>
  <c r="H125" i="4" l="1"/>
  <c r="F125" i="4" s="1"/>
  <c r="I125" i="4"/>
  <c r="G125" i="4" s="1"/>
  <c r="E125" i="4" l="1"/>
  <c r="J126" i="4"/>
  <c r="H126" i="4" l="1"/>
  <c r="F126" i="4" s="1"/>
  <c r="I126" i="4"/>
  <c r="G126" i="4" s="1"/>
  <c r="E126" i="4" l="1"/>
  <c r="I127" i="4"/>
  <c r="H127" i="4" l="1"/>
  <c r="E127" i="4" s="1"/>
  <c r="J127" i="4"/>
  <c r="G127" i="4" s="1"/>
  <c r="F127" i="4" l="1"/>
  <c r="H128" i="4" l="1"/>
  <c r="I128" i="4"/>
  <c r="J128" i="4"/>
  <c r="G128" i="4" l="1"/>
  <c r="E128" i="4"/>
  <c r="F128" i="4"/>
  <c r="H129" i="4"/>
  <c r="J129" i="4" l="1"/>
  <c r="F129" i="4" s="1"/>
  <c r="I129" i="4"/>
  <c r="G129" i="4" s="1"/>
  <c r="E129" i="4" l="1"/>
  <c r="J130" i="4"/>
  <c r="H130" i="4" l="1"/>
  <c r="F130" i="4" s="1"/>
  <c r="I130" i="4"/>
  <c r="G130" i="4" s="1"/>
  <c r="E130" i="4" l="1"/>
  <c r="J131" i="4"/>
  <c r="H131" i="4" l="1"/>
  <c r="F131" i="4" s="1"/>
  <c r="I131" i="4"/>
  <c r="G131" i="4" s="1"/>
  <c r="E131" i="4" l="1"/>
  <c r="J132" i="4"/>
  <c r="I132" i="4" l="1"/>
  <c r="G132" i="4" s="1"/>
  <c r="H132" i="4"/>
  <c r="E132" i="4" s="1"/>
  <c r="F132" i="4" l="1"/>
  <c r="I133" i="4" s="1"/>
  <c r="H133" i="4" l="1"/>
  <c r="J133" i="4"/>
  <c r="G133" i="4" s="1"/>
  <c r="F133" i="4"/>
  <c r="E133" i="4"/>
  <c r="H134" i="4" l="1"/>
  <c r="I134" i="4"/>
  <c r="J134" i="4"/>
  <c r="G134" i="4" l="1"/>
  <c r="E134" i="4"/>
  <c r="F134" i="4"/>
  <c r="J135" i="4" l="1"/>
  <c r="I135" i="4"/>
  <c r="G135" i="4" s="1"/>
  <c r="H135" i="4"/>
  <c r="E135" i="4" l="1"/>
  <c r="F135" i="4"/>
  <c r="J136" i="4"/>
  <c r="I136" i="4" l="1"/>
  <c r="G136" i="4" s="1"/>
  <c r="H136" i="4"/>
  <c r="E136" i="4" s="1"/>
  <c r="F136" i="4" l="1"/>
  <c r="J137" i="4"/>
  <c r="I137" i="4" l="1"/>
  <c r="G137" i="4" s="1"/>
  <c r="H137" i="4"/>
  <c r="E137" i="4" s="1"/>
  <c r="F137" i="4" l="1"/>
  <c r="H138" i="4"/>
  <c r="J138" i="4" l="1"/>
  <c r="F138" i="4" s="1"/>
  <c r="I138" i="4"/>
  <c r="G138" i="4" l="1"/>
  <c r="E138" i="4"/>
  <c r="J139" i="4"/>
  <c r="I139" i="4" l="1"/>
  <c r="G139" i="4" s="1"/>
  <c r="H139" i="4"/>
  <c r="F139" i="4" s="1"/>
  <c r="E139" i="4" l="1"/>
  <c r="J140" i="4"/>
  <c r="I140" i="4"/>
  <c r="G140" i="4" l="1"/>
  <c r="H140" i="4"/>
  <c r="F140" i="4" s="1"/>
  <c r="E140" i="4" l="1"/>
  <c r="H141" i="4"/>
  <c r="I141" i="4"/>
  <c r="E141" i="4" l="1"/>
  <c r="J141" i="4"/>
  <c r="F141" i="4" s="1"/>
  <c r="G141" i="4" l="1"/>
  <c r="I142" i="4"/>
  <c r="J142" i="4"/>
  <c r="H142" i="4"/>
  <c r="E142" i="4" s="1"/>
  <c r="G142" i="4" l="1"/>
  <c r="F142" i="4"/>
  <c r="I143" i="4"/>
  <c r="J143" i="4" l="1"/>
  <c r="G143" i="4" s="1"/>
  <c r="H143" i="4"/>
  <c r="F143" i="4" l="1"/>
  <c r="E143" i="4"/>
  <c r="J144" i="4" l="1"/>
  <c r="H144" i="4"/>
  <c r="F144" i="4" s="1"/>
  <c r="I144" i="4"/>
  <c r="G144" i="4" s="1"/>
  <c r="E144" i="4" l="1"/>
  <c r="H145" i="4"/>
  <c r="J145" i="4" l="1"/>
  <c r="F145" i="4" s="1"/>
  <c r="I145" i="4"/>
  <c r="G145" i="4" s="1"/>
  <c r="E145" i="4" l="1"/>
  <c r="J146" i="4" s="1"/>
  <c r="I146" i="4" l="1"/>
  <c r="G146" i="4" s="1"/>
  <c r="H146" i="4"/>
  <c r="F146" i="4" s="1"/>
  <c r="E146" i="4" l="1"/>
  <c r="J147" i="4"/>
  <c r="I147" i="4"/>
  <c r="G147" i="4" s="1"/>
  <c r="H147" i="4" l="1"/>
  <c r="F147" i="4" s="1"/>
  <c r="E147" i="4" l="1"/>
  <c r="H148" i="4"/>
  <c r="I148" i="4"/>
  <c r="J148" i="4"/>
  <c r="G148" i="4" l="1"/>
  <c r="E148" i="4"/>
  <c r="F148" i="4"/>
  <c r="I149" i="4"/>
  <c r="H149" i="4" l="1"/>
  <c r="E149" i="4" s="1"/>
  <c r="J149" i="4"/>
  <c r="G149" i="4" s="1"/>
  <c r="F149" i="4" l="1"/>
  <c r="H150" i="4"/>
  <c r="J150" i="4" l="1"/>
  <c r="F150" i="4" s="1"/>
  <c r="I150" i="4"/>
  <c r="G150" i="4" s="1"/>
  <c r="E150" i="4" l="1"/>
  <c r="J151" i="4"/>
  <c r="I151" i="4" l="1"/>
  <c r="G151" i="4" s="1"/>
  <c r="H151" i="4"/>
  <c r="E151" i="4" s="1"/>
  <c r="F151" i="4" l="1"/>
  <c r="H152" i="4" s="1"/>
  <c r="J152" i="4" l="1"/>
  <c r="F152" i="4" s="1"/>
  <c r="I152" i="4"/>
  <c r="G152" i="4" s="1"/>
  <c r="E152" i="4" l="1"/>
  <c r="J153" i="4"/>
  <c r="H153" i="4" l="1"/>
  <c r="F153" i="4" s="1"/>
  <c r="I153" i="4"/>
  <c r="G153" i="4" s="1"/>
  <c r="E153" i="4" l="1"/>
  <c r="J154" i="4"/>
  <c r="H154" i="4" l="1"/>
  <c r="F154" i="4" s="1"/>
  <c r="I154" i="4"/>
  <c r="G154" i="4" s="1"/>
  <c r="E154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D49120-F8A0-45B5-AB31-1A568DF1DC52}" keepAlive="1" name="Zapytanie — owoce" description="Połączenie z zapytaniem „owoce” w skoroszycie." type="5" refreshedVersion="8" background="1" saveData="1">
    <dbPr connection="Provider=Microsoft.Mashup.OleDb.1;Data Source=$Workbook$;Location=owoce;Extended Properties=&quot;&quot;" command="SELECT * FROM [owoce]"/>
  </connection>
</connections>
</file>

<file path=xl/sharedStrings.xml><?xml version="1.0" encoding="utf-8"?>
<sst xmlns="http://schemas.openxmlformats.org/spreadsheetml/2006/main" count="43" uniqueCount="27">
  <si>
    <t>data</t>
  </si>
  <si>
    <t>dostawa_malin</t>
  </si>
  <si>
    <t>dostawa_truskawek</t>
  </si>
  <si>
    <t>dostawa_porzeczek</t>
  </si>
  <si>
    <t>Data</t>
  </si>
  <si>
    <t>truskawki</t>
  </si>
  <si>
    <t>porzeczki</t>
  </si>
  <si>
    <t>Etykiety wierszy</t>
  </si>
  <si>
    <t>Suma końcowa</t>
  </si>
  <si>
    <t>maj</t>
  </si>
  <si>
    <t>cze</t>
  </si>
  <si>
    <t>lip</t>
  </si>
  <si>
    <t>sie</t>
  </si>
  <si>
    <t>wrz</t>
  </si>
  <si>
    <t>Suma z dostawa_malin</t>
  </si>
  <si>
    <t>Suma dostarczobnych truskawek</t>
  </si>
  <si>
    <t>Suma dostaw porzeczek</t>
  </si>
  <si>
    <t>Suma dni:</t>
  </si>
  <si>
    <t>truskawka_malina</t>
  </si>
  <si>
    <t>malina_porzeczka</t>
  </si>
  <si>
    <t>porzeczka_truskawka</t>
  </si>
  <si>
    <t>malin</t>
  </si>
  <si>
    <t>truskawka</t>
  </si>
  <si>
    <t>poez</t>
  </si>
  <si>
    <t>malina porzeczka</t>
  </si>
  <si>
    <t>Suma</t>
  </si>
  <si>
    <t>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</si>
</sst>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;[Red]0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2" xfId="0" applyFont="1" applyBorder="1"/>
    <xf numFmtId="0" fontId="0" fillId="0" borderId="3" xfId="0" applyFont="1" applyBorder="1"/>
    <xf numFmtId="14" fontId="0" fillId="2" borderId="1" xfId="0" applyNumberFormat="1" applyFont="1" applyFill="1" applyBorder="1"/>
    <xf numFmtId="14" fontId="0" fillId="0" borderId="1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4" xfId="0" applyFont="1" applyFill="1" applyBorder="1"/>
    <xf numFmtId="0" fontId="1" fillId="0" borderId="4" xfId="0" applyFont="1" applyBorder="1" applyAlignment="1">
      <alignment horizontal="left"/>
    </xf>
    <xf numFmtId="0" fontId="1" fillId="0" borderId="4" xfId="0" applyNumberFormat="1" applyFont="1" applyBorder="1"/>
    <xf numFmtId="170" fontId="0" fillId="0" borderId="0" xfId="0" applyNumberFormat="1"/>
  </cellXfs>
  <cellStyles count="1">
    <cellStyle name="Normalny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Suma dostaw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'6.1'!$B$14</c:f>
              <c:strCache>
                <c:ptCount val="1"/>
                <c:pt idx="0">
                  <c:v>Suma z dostawa_malin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'6.1'!$A$15:$A$19</c:f>
              <c:strCache>
                <c:ptCount val="5"/>
                <c:pt idx="0">
                  <c:v>maj</c:v>
                </c:pt>
                <c:pt idx="1">
                  <c:v>cze</c:v>
                </c:pt>
                <c:pt idx="2">
                  <c:v>lip</c:v>
                </c:pt>
                <c:pt idx="3">
                  <c:v>sie</c:v>
                </c:pt>
                <c:pt idx="4">
                  <c:v>wrz</c:v>
                </c:pt>
              </c:strCache>
            </c:strRef>
          </c:cat>
          <c:val>
            <c:numRef>
              <c:f>'6.1'!$B$15:$B$19</c:f>
              <c:numCache>
                <c:formatCode>General</c:formatCode>
                <c:ptCount val="5"/>
                <c:pt idx="0">
                  <c:v>9238</c:v>
                </c:pt>
                <c:pt idx="1">
                  <c:v>9485</c:v>
                </c:pt>
                <c:pt idx="2">
                  <c:v>11592</c:v>
                </c:pt>
                <c:pt idx="3">
                  <c:v>11045</c:v>
                </c:pt>
                <c:pt idx="4">
                  <c:v>6532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7F-40AA-B08B-621878759422}"/>
            </c:ext>
          </c:extLst>
        </c:ser>
        <c:ser>
          <c:idx val="1"/>
          <c:order val="1"/>
          <c:tx>
            <c:strRef>
              <c:f>'6.1'!$C$14</c:f>
              <c:strCache>
                <c:ptCount val="1"/>
                <c:pt idx="0">
                  <c:v>Suma dostarczobnych truskawek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'6.1'!$A$15:$A$19</c:f>
              <c:strCache>
                <c:ptCount val="5"/>
                <c:pt idx="0">
                  <c:v>maj</c:v>
                </c:pt>
                <c:pt idx="1">
                  <c:v>cze</c:v>
                </c:pt>
                <c:pt idx="2">
                  <c:v>lip</c:v>
                </c:pt>
                <c:pt idx="3">
                  <c:v>sie</c:v>
                </c:pt>
                <c:pt idx="4">
                  <c:v>wrz</c:v>
                </c:pt>
              </c:strCache>
            </c:strRef>
          </c:cat>
          <c:val>
            <c:numRef>
              <c:f>'6.1'!$C$15:$C$19</c:f>
              <c:numCache>
                <c:formatCode>General</c:formatCode>
                <c:ptCount val="5"/>
                <c:pt idx="0">
                  <c:v>9287</c:v>
                </c:pt>
                <c:pt idx="1">
                  <c:v>8916</c:v>
                </c:pt>
                <c:pt idx="2">
                  <c:v>11339</c:v>
                </c:pt>
                <c:pt idx="3">
                  <c:v>11386</c:v>
                </c:pt>
                <c:pt idx="4">
                  <c:v>7476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7F-40AA-B08B-621878759422}"/>
            </c:ext>
          </c:extLst>
        </c:ser>
        <c:ser>
          <c:idx val="2"/>
          <c:order val="2"/>
          <c:tx>
            <c:strRef>
              <c:f>'6.1'!$D$14</c:f>
              <c:strCache>
                <c:ptCount val="1"/>
                <c:pt idx="0">
                  <c:v>Suma dostaw porzeczek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'6.1'!$A$15:$A$19</c:f>
              <c:strCache>
                <c:ptCount val="5"/>
                <c:pt idx="0">
                  <c:v>maj</c:v>
                </c:pt>
                <c:pt idx="1">
                  <c:v>cze</c:v>
                </c:pt>
                <c:pt idx="2">
                  <c:v>lip</c:v>
                </c:pt>
                <c:pt idx="3">
                  <c:v>sie</c:v>
                </c:pt>
                <c:pt idx="4">
                  <c:v>wrz</c:v>
                </c:pt>
              </c:strCache>
            </c:strRef>
          </c:cat>
          <c:val>
            <c:numRef>
              <c:f>'6.1'!$D$15:$D$19</c:f>
              <c:numCache>
                <c:formatCode>General</c:formatCode>
                <c:ptCount val="5"/>
                <c:pt idx="0">
                  <c:v>3309</c:v>
                </c:pt>
                <c:pt idx="1">
                  <c:v>5081</c:v>
                </c:pt>
                <c:pt idx="2">
                  <c:v>10567</c:v>
                </c:pt>
                <c:pt idx="3">
                  <c:v>11078</c:v>
                </c:pt>
                <c:pt idx="4">
                  <c:v>6355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7F-40AA-B08B-621878759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131695"/>
        <c:axId val="197129295"/>
      </c:barChart>
      <c:catAx>
        <c:axId val="197131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nazwy miesięcy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7129295"/>
        <c:crosses val="autoZero"/>
        <c:auto val="1"/>
        <c:lblAlgn val="ctr"/>
        <c:lblOffset val="100"/>
        <c:noMultiLvlLbl val="0"/>
      </c:catAx>
      <c:valAx>
        <c:axId val="19712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kilogramów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7131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1466850</xdr:colOff>
      <xdr:row>23</xdr:row>
      <xdr:rowOff>147637</xdr:rowOff>
    </xdr:from>
    <xdr:to>
      <xdr:col>8</xdr:col>
      <xdr:colOff>85725</xdr:colOff>
      <xdr:row>38</xdr:row>
      <xdr:rowOff>33337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93455AFB-CFAF-813C-1BB6-C2CF21D8F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kołaj Banaszak" refreshedDate="45974.794888425924" createdVersion="8" refreshedVersion="8" minRefreshableVersion="3" recordCount="153" xr:uid="{3C5AA8FB-49D7-4383-BB03-B73597DAEDB0}">
  <cacheSource type="worksheet">
    <worksheetSource ref="A1:D154" sheet="Suma 6.2"/>
  </cacheSource>
  <cacheFields count="6">
    <cacheField name="Data" numFmtId="14">
      <sharedItems containsSemiMixedTypes="0" containsNonDate="0" containsDate="1" containsString="0" minDate="2020-05-01T00:00:00" maxDate="2020-10-01T00:00:00" count="153"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</sharedItems>
      <fieldGroup par="5"/>
    </cacheField>
    <cacheField name="dostawa_malin" numFmtId="0">
      <sharedItems containsSemiMixedTypes="0" containsString="0" containsNumber="1" containsInteger="1" minValue="142" maxValue="495"/>
    </cacheField>
    <cacheField name="truskawki" numFmtId="0">
      <sharedItems containsSemiMixedTypes="0" containsString="0" containsNumber="1" containsInteger="1" minValue="102" maxValue="490"/>
    </cacheField>
    <cacheField name="porzeczki" numFmtId="0">
      <sharedItems containsSemiMixedTypes="0" containsString="0" containsNumber="1" containsInteger="1" minValue="72" maxValue="555"/>
    </cacheField>
    <cacheField name="Dni (Data)" numFmtId="0" databaseField="0">
      <fieldGroup base="0">
        <rangePr groupBy="days" startDate="2020-05-01T00:00:00" endDate="2020-10-01T00:00:00"/>
        <groupItems count="368">
          <s v="&lt;01.05.2020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10.2020"/>
        </groupItems>
      </fieldGroup>
    </cacheField>
    <cacheField name="Miesiące (Data)" numFmtId="0" databaseField="0">
      <fieldGroup base="0">
        <rangePr groupBy="months" startDate="2020-05-01T00:00:00" endDate="2020-10-01T00:00:00"/>
        <groupItems count="14">
          <s v="&lt;01.05.2020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10.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x v="0"/>
    <n v="211"/>
    <n v="281"/>
    <n v="88"/>
  </r>
  <r>
    <x v="1"/>
    <n v="393"/>
    <n v="313"/>
    <n v="83"/>
  </r>
  <r>
    <x v="2"/>
    <n v="389"/>
    <n v="315"/>
    <n v="104"/>
  </r>
  <r>
    <x v="3"/>
    <n v="308"/>
    <n v="221"/>
    <n v="119"/>
  </r>
  <r>
    <x v="4"/>
    <n v="387"/>
    <n v="275"/>
    <n v="72"/>
  </r>
  <r>
    <x v="5"/>
    <n v="294"/>
    <n v="366"/>
    <n v="99"/>
  </r>
  <r>
    <x v="6"/>
    <n v="389"/>
    <n v="288"/>
    <n v="87"/>
  </r>
  <r>
    <x v="7"/>
    <n v="259"/>
    <n v="361"/>
    <n v="112"/>
  </r>
  <r>
    <x v="8"/>
    <n v="369"/>
    <n v="233"/>
    <n v="110"/>
  </r>
  <r>
    <x v="9"/>
    <n v="263"/>
    <n v="393"/>
    <n v="75"/>
  </r>
  <r>
    <x v="10"/>
    <n v="239"/>
    <n v="347"/>
    <n v="94"/>
  </r>
  <r>
    <x v="11"/>
    <n v="282"/>
    <n v="338"/>
    <n v="86"/>
  </r>
  <r>
    <x v="12"/>
    <n v="306"/>
    <n v="273"/>
    <n v="75"/>
  </r>
  <r>
    <x v="13"/>
    <n v="251"/>
    <n v="325"/>
    <n v="89"/>
  </r>
  <r>
    <x v="14"/>
    <n v="224"/>
    <n v="352"/>
    <n v="97"/>
  </r>
  <r>
    <x v="15"/>
    <n v="233"/>
    <n v="270"/>
    <n v="94"/>
  </r>
  <r>
    <x v="16"/>
    <n v="345"/>
    <n v="275"/>
    <n v="90"/>
  </r>
  <r>
    <x v="17"/>
    <n v="232"/>
    <n v="228"/>
    <n v="107"/>
  </r>
  <r>
    <x v="18"/>
    <n v="238"/>
    <n v="394"/>
    <n v="105"/>
  </r>
  <r>
    <x v="19"/>
    <n v="378"/>
    <n v="311"/>
    <n v="110"/>
  </r>
  <r>
    <x v="20"/>
    <n v="281"/>
    <n v="354"/>
    <n v="121"/>
  </r>
  <r>
    <x v="21"/>
    <n v="390"/>
    <n v="267"/>
    <n v="124"/>
  </r>
  <r>
    <x v="22"/>
    <n v="308"/>
    <n v="337"/>
    <n v="105"/>
  </r>
  <r>
    <x v="23"/>
    <n v="391"/>
    <n v="238"/>
    <n v="113"/>
  </r>
  <r>
    <x v="24"/>
    <n v="241"/>
    <n v="283"/>
    <n v="140"/>
  </r>
  <r>
    <x v="25"/>
    <n v="249"/>
    <n v="275"/>
    <n v="118"/>
  </r>
  <r>
    <x v="26"/>
    <n v="298"/>
    <n v="263"/>
    <n v="145"/>
  </r>
  <r>
    <x v="27"/>
    <n v="254"/>
    <n v="241"/>
    <n v="149"/>
  </r>
  <r>
    <x v="28"/>
    <n v="329"/>
    <n v="323"/>
    <n v="134"/>
  </r>
  <r>
    <x v="29"/>
    <n v="213"/>
    <n v="221"/>
    <n v="119"/>
  </r>
  <r>
    <x v="30"/>
    <n v="294"/>
    <n v="326"/>
    <n v="145"/>
  </r>
  <r>
    <x v="31"/>
    <n v="225"/>
    <n v="206"/>
    <n v="122"/>
  </r>
  <r>
    <x v="32"/>
    <n v="264"/>
    <n v="355"/>
    <n v="134"/>
  </r>
  <r>
    <x v="33"/>
    <n v="253"/>
    <n v="271"/>
    <n v="142"/>
  </r>
  <r>
    <x v="34"/>
    <n v="352"/>
    <n v="207"/>
    <n v="125"/>
  </r>
  <r>
    <x v="35"/>
    <n v="269"/>
    <n v="248"/>
    <n v="137"/>
  </r>
  <r>
    <x v="36"/>
    <n v="242"/>
    <n v="247"/>
    <n v="125"/>
  </r>
  <r>
    <x v="37"/>
    <n v="327"/>
    <n v="262"/>
    <n v="103"/>
  </r>
  <r>
    <x v="38"/>
    <n v="316"/>
    <n v="253"/>
    <n v="134"/>
  </r>
  <r>
    <x v="39"/>
    <n v="294"/>
    <n v="249"/>
    <n v="137"/>
  </r>
  <r>
    <x v="40"/>
    <n v="270"/>
    <n v="206"/>
    <n v="146"/>
  </r>
  <r>
    <x v="41"/>
    <n v="349"/>
    <n v="301"/>
    <n v="138"/>
  </r>
  <r>
    <x v="42"/>
    <n v="224"/>
    <n v="385"/>
    <n v="138"/>
  </r>
  <r>
    <x v="43"/>
    <n v="309"/>
    <n v="204"/>
    <n v="140"/>
  </r>
  <r>
    <x v="44"/>
    <n v="246"/>
    <n v="275"/>
    <n v="130"/>
  </r>
  <r>
    <x v="45"/>
    <n v="241"/>
    <n v="247"/>
    <n v="166"/>
  </r>
  <r>
    <x v="46"/>
    <n v="365"/>
    <n v="256"/>
    <n v="132"/>
  </r>
  <r>
    <x v="47"/>
    <n v="225"/>
    <n v="392"/>
    <n v="158"/>
  </r>
  <r>
    <x v="48"/>
    <n v="335"/>
    <n v="254"/>
    <n v="173"/>
  </r>
  <r>
    <x v="49"/>
    <n v="376"/>
    <n v="258"/>
    <n v="151"/>
  </r>
  <r>
    <x v="50"/>
    <n v="310"/>
    <n v="248"/>
    <n v="173"/>
  </r>
  <r>
    <x v="51"/>
    <n v="408"/>
    <n v="250"/>
    <n v="242"/>
  </r>
  <r>
    <x v="52"/>
    <n v="256"/>
    <n v="393"/>
    <n v="219"/>
  </r>
  <r>
    <x v="53"/>
    <n v="322"/>
    <n v="425"/>
    <n v="215"/>
  </r>
  <r>
    <x v="54"/>
    <n v="447"/>
    <n v="385"/>
    <n v="212"/>
  </r>
  <r>
    <x v="55"/>
    <n v="408"/>
    <n v="260"/>
    <n v="225"/>
  </r>
  <r>
    <x v="56"/>
    <n v="283"/>
    <n v="396"/>
    <n v="221"/>
  </r>
  <r>
    <x v="57"/>
    <n v="414"/>
    <n v="314"/>
    <n v="220"/>
  </r>
  <r>
    <x v="58"/>
    <n v="442"/>
    <n v="449"/>
    <n v="245"/>
  </r>
  <r>
    <x v="59"/>
    <n v="269"/>
    <n v="370"/>
    <n v="242"/>
  </r>
  <r>
    <x v="60"/>
    <n v="444"/>
    <n v="350"/>
    <n v="236"/>
  </r>
  <r>
    <x v="61"/>
    <n v="425"/>
    <n v="342"/>
    <n v="237"/>
  </r>
  <r>
    <x v="62"/>
    <n v="377"/>
    <n v="290"/>
    <n v="240"/>
  </r>
  <r>
    <x v="63"/>
    <n v="382"/>
    <n v="360"/>
    <n v="203"/>
  </r>
  <r>
    <x v="64"/>
    <n v="287"/>
    <n v="428"/>
    <n v="204"/>
  </r>
  <r>
    <x v="65"/>
    <n v="429"/>
    <n v="394"/>
    <n v="246"/>
  </r>
  <r>
    <x v="66"/>
    <n v="287"/>
    <n v="356"/>
    <n v="233"/>
  </r>
  <r>
    <x v="67"/>
    <n v="421"/>
    <n v="292"/>
    <n v="226"/>
  </r>
  <r>
    <x v="68"/>
    <n v="334"/>
    <n v="353"/>
    <n v="282"/>
  </r>
  <r>
    <x v="69"/>
    <n v="282"/>
    <n v="329"/>
    <n v="262"/>
  </r>
  <r>
    <x v="70"/>
    <n v="356"/>
    <n v="331"/>
    <n v="290"/>
  </r>
  <r>
    <x v="71"/>
    <n v="307"/>
    <n v="394"/>
    <n v="256"/>
  </r>
  <r>
    <x v="72"/>
    <n v="441"/>
    <n v="271"/>
    <n v="292"/>
  </r>
  <r>
    <x v="73"/>
    <n v="407"/>
    <n v="311"/>
    <n v="280"/>
  </r>
  <r>
    <x v="74"/>
    <n v="480"/>
    <n v="342"/>
    <n v="292"/>
  </r>
  <r>
    <x v="75"/>
    <n v="494"/>
    <n v="310"/>
    <n v="275"/>
  </r>
  <r>
    <x v="76"/>
    <n v="493"/>
    <n v="431"/>
    <n v="283"/>
  </r>
  <r>
    <x v="77"/>
    <n v="302"/>
    <n v="415"/>
    <n v="297"/>
  </r>
  <r>
    <x v="78"/>
    <n v="331"/>
    <n v="353"/>
    <n v="373"/>
  </r>
  <r>
    <x v="79"/>
    <n v="486"/>
    <n v="323"/>
    <n v="359"/>
  </r>
  <r>
    <x v="80"/>
    <n v="360"/>
    <n v="331"/>
    <n v="445"/>
  </r>
  <r>
    <x v="81"/>
    <n v="391"/>
    <n v="455"/>
    <n v="427"/>
  </r>
  <r>
    <x v="82"/>
    <n v="327"/>
    <n v="471"/>
    <n v="423"/>
  </r>
  <r>
    <x v="83"/>
    <n v="355"/>
    <n v="490"/>
    <n v="449"/>
  </r>
  <r>
    <x v="84"/>
    <n v="360"/>
    <n v="339"/>
    <n v="470"/>
  </r>
  <r>
    <x v="85"/>
    <n v="303"/>
    <n v="404"/>
    <n v="434"/>
  </r>
  <r>
    <x v="86"/>
    <n v="310"/>
    <n v="332"/>
    <n v="536"/>
  </r>
  <r>
    <x v="87"/>
    <n v="435"/>
    <n v="406"/>
    <n v="421"/>
  </r>
  <r>
    <x v="88"/>
    <n v="344"/>
    <n v="348"/>
    <n v="555"/>
  </r>
  <r>
    <x v="89"/>
    <n v="303"/>
    <n v="335"/>
    <n v="436"/>
  </r>
  <r>
    <x v="90"/>
    <n v="433"/>
    <n v="425"/>
    <n v="422"/>
  </r>
  <r>
    <x v="91"/>
    <n v="350"/>
    <n v="378"/>
    <n v="419"/>
  </r>
  <r>
    <x v="92"/>
    <n v="396"/>
    <n v="466"/>
    <n v="434"/>
  </r>
  <r>
    <x v="93"/>
    <n v="495"/>
    <n v="410"/>
    <n v="418"/>
  </r>
  <r>
    <x v="94"/>
    <n v="420"/>
    <n v="328"/>
    <n v="422"/>
  </r>
  <r>
    <x v="95"/>
    <n v="411"/>
    <n v="481"/>
    <n v="445"/>
  </r>
  <r>
    <x v="96"/>
    <n v="317"/>
    <n v="434"/>
    <n v="411"/>
  </r>
  <r>
    <x v="97"/>
    <n v="342"/>
    <n v="465"/>
    <n v="417"/>
  </r>
  <r>
    <x v="98"/>
    <n v="450"/>
    <n v="318"/>
    <n v="490"/>
  </r>
  <r>
    <x v="99"/>
    <n v="343"/>
    <n v="329"/>
    <n v="345"/>
  </r>
  <r>
    <x v="100"/>
    <n v="287"/>
    <n v="328"/>
    <n v="377"/>
  </r>
  <r>
    <x v="101"/>
    <n v="298"/>
    <n v="401"/>
    <n v="416"/>
  </r>
  <r>
    <x v="102"/>
    <n v="429"/>
    <n v="348"/>
    <n v="426"/>
  </r>
  <r>
    <x v="103"/>
    <n v="417"/>
    <n v="457"/>
    <n v="438"/>
  </r>
  <r>
    <x v="104"/>
    <n v="384"/>
    <n v="330"/>
    <n v="292"/>
  </r>
  <r>
    <x v="105"/>
    <n v="370"/>
    <n v="388"/>
    <n v="390"/>
  </r>
  <r>
    <x v="106"/>
    <n v="436"/>
    <n v="298"/>
    <n v="420"/>
  </r>
  <r>
    <x v="107"/>
    <n v="303"/>
    <n v="429"/>
    <n v="407"/>
  </r>
  <r>
    <x v="108"/>
    <n v="449"/>
    <n v="444"/>
    <n v="425"/>
  </r>
  <r>
    <x v="109"/>
    <n v="300"/>
    <n v="358"/>
    <n v="377"/>
  </r>
  <r>
    <x v="110"/>
    <n v="307"/>
    <n v="417"/>
    <n v="405"/>
  </r>
  <r>
    <x v="111"/>
    <n v="314"/>
    <n v="340"/>
    <n v="345"/>
  </r>
  <r>
    <x v="112"/>
    <n v="379"/>
    <n v="288"/>
    <n v="353"/>
  </r>
  <r>
    <x v="113"/>
    <n v="405"/>
    <n v="454"/>
    <n v="342"/>
  </r>
  <r>
    <x v="114"/>
    <n v="407"/>
    <n v="300"/>
    <n v="365"/>
  </r>
  <r>
    <x v="115"/>
    <n v="432"/>
    <n v="423"/>
    <n v="221"/>
  </r>
  <r>
    <x v="116"/>
    <n v="405"/>
    <n v="449"/>
    <n v="231"/>
  </r>
  <r>
    <x v="117"/>
    <n v="162"/>
    <n v="294"/>
    <n v="255"/>
  </r>
  <r>
    <x v="118"/>
    <n v="297"/>
    <n v="341"/>
    <n v="223"/>
  </r>
  <r>
    <x v="119"/>
    <n v="226"/>
    <n v="329"/>
    <n v="261"/>
  </r>
  <r>
    <x v="120"/>
    <n v="226"/>
    <n v="256"/>
    <n v="239"/>
  </r>
  <r>
    <x v="121"/>
    <n v="287"/>
    <n v="217"/>
    <n v="262"/>
  </r>
  <r>
    <x v="122"/>
    <n v="351"/>
    <n v="266"/>
    <n v="226"/>
  </r>
  <r>
    <x v="123"/>
    <n v="214"/>
    <n v="260"/>
    <n v="241"/>
  </r>
  <r>
    <x v="124"/>
    <n v="282"/>
    <n v="227"/>
    <n v="258"/>
  </r>
  <r>
    <x v="125"/>
    <n v="257"/>
    <n v="251"/>
    <n v="252"/>
  </r>
  <r>
    <x v="126"/>
    <n v="172"/>
    <n v="171"/>
    <n v="268"/>
  </r>
  <r>
    <x v="127"/>
    <n v="197"/>
    <n v="326"/>
    <n v="224"/>
  </r>
  <r>
    <x v="128"/>
    <n v="292"/>
    <n v="329"/>
    <n v="255"/>
  </r>
  <r>
    <x v="129"/>
    <n v="172"/>
    <n v="216"/>
    <n v="199"/>
  </r>
  <r>
    <x v="130"/>
    <n v="258"/>
    <n v="291"/>
    <n v="220"/>
  </r>
  <r>
    <x v="131"/>
    <n v="276"/>
    <n v="347"/>
    <n v="197"/>
  </r>
  <r>
    <x v="132"/>
    <n v="210"/>
    <n v="333"/>
    <n v="218"/>
  </r>
  <r>
    <x v="133"/>
    <n v="168"/>
    <n v="211"/>
    <n v="180"/>
  </r>
  <r>
    <x v="134"/>
    <n v="196"/>
    <n v="348"/>
    <n v="225"/>
  </r>
  <r>
    <x v="135"/>
    <n v="284"/>
    <n v="226"/>
    <n v="197"/>
  </r>
  <r>
    <x v="136"/>
    <n v="162"/>
    <n v="345"/>
    <n v="194"/>
  </r>
  <r>
    <x v="137"/>
    <n v="212"/>
    <n v="184"/>
    <n v="183"/>
  </r>
  <r>
    <x v="138"/>
    <n v="165"/>
    <n v="232"/>
    <n v="202"/>
  </r>
  <r>
    <x v="139"/>
    <n v="163"/>
    <n v="314"/>
    <n v="213"/>
  </r>
  <r>
    <x v="140"/>
    <n v="200"/>
    <n v="307"/>
    <n v="206"/>
  </r>
  <r>
    <x v="141"/>
    <n v="201"/>
    <n v="274"/>
    <n v="210"/>
  </r>
  <r>
    <x v="142"/>
    <n v="269"/>
    <n v="278"/>
    <n v="228"/>
  </r>
  <r>
    <x v="143"/>
    <n v="188"/>
    <n v="195"/>
    <n v="207"/>
  </r>
  <r>
    <x v="144"/>
    <n v="142"/>
    <n v="249"/>
    <n v="202"/>
  </r>
  <r>
    <x v="145"/>
    <n v="232"/>
    <n v="116"/>
    <n v="195"/>
  </r>
  <r>
    <x v="146"/>
    <n v="296"/>
    <n v="102"/>
    <n v="192"/>
  </r>
  <r>
    <x v="147"/>
    <n v="161"/>
    <n v="151"/>
    <n v="216"/>
  </r>
  <r>
    <x v="148"/>
    <n v="162"/>
    <n v="261"/>
    <n v="184"/>
  </r>
  <r>
    <x v="149"/>
    <n v="216"/>
    <n v="147"/>
    <n v="204"/>
  </r>
  <r>
    <x v="150"/>
    <n v="282"/>
    <n v="297"/>
    <n v="195"/>
  </r>
  <r>
    <x v="151"/>
    <n v="214"/>
    <n v="198"/>
    <n v="200"/>
  </r>
  <r>
    <x v="152"/>
    <n v="289"/>
    <n v="290"/>
    <n v="1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9BED90-018C-4804-BA01-9CCC77248610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9">
  <location ref="A3:D9" firstHeaderRow="0" firstDataRow="1" firstDataCol="1"/>
  <pivotFields count="6">
    <pivotField axis="axisRow" numFmtId="14" showAll="0">
      <items count="1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dataField="1" showAll="0"/>
    <pivotField dataField="1"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5"/>
    <field x="0"/>
  </rowFields>
  <rowItems count="6"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z dostawa_malin" fld="1" baseField="0" baseItem="0"/>
    <dataField name="Suma dostarczobnych truskawek" fld="2" baseField="5" baseItem="5"/>
    <dataField name="Suma dostaw porzeczek" fld="3" baseField="5" baseItem="5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4FB896F-941B-47CC-B06D-69D9A83E69C5}" autoFormatId="16" applyNumberFormats="0" applyBorderFormats="0" applyFontFormats="0" applyPatternFormats="0" applyAlignmentFormats="0" applyWidthHeightFormats="0">
  <queryTableRefresh nextId="5">
    <queryTableFields count="4">
      <queryTableField id="1" name="data" tableColumnId="1"/>
      <queryTableField id="2" name="dostawa_malin" tableColumnId="2"/>
      <queryTableField id="3" name="dostawa_truskawek" tableColumnId="3"/>
      <queryTableField id="4" name="dostawa_porzeczek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4E2C20-A42C-40B3-A0D1-2A998AF5BBC4}" name="owoce" displayName="owoce" ref="A1:D154" tableType="queryTable" totalsRowShown="0">
  <autoFilter ref="A1:D154" xr:uid="{8D4E2C20-A42C-40B3-A0D1-2A998AF5BBC4}"/>
  <tableColumns count="4">
    <tableColumn id="1" xr3:uid="{600CFCFE-C1F2-47E4-84FB-AA8B7D2B51C9}" uniqueName="1" name="data" queryTableFieldId="1" dataDxfId="0"/>
    <tableColumn id="2" xr3:uid="{DD20B968-F0FF-46F6-89C6-7693586C5D59}" uniqueName="2" name="dostawa_malin" queryTableFieldId="2"/>
    <tableColumn id="3" xr3:uid="{7DB4B828-B32F-41D6-AA40-4BE19DD6DB76}" uniqueName="3" name="dostawa_truskawek" queryTableFieldId="3"/>
    <tableColumn id="4" xr3:uid="{FBA981EA-F13A-45A0-9571-FEA4F42B742C}" uniqueName="4" name="dostawa_porzeczek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2D0C5-78A9-4560-B60B-8C0F5CDBD654}">
  <dimension ref="A1:D154"/>
  <sheetViews>
    <sheetView topLeftCell="A120" workbookViewId="0">
      <selection activeCell="A2" sqref="A2:D154"/>
    </sheetView>
  </sheetViews>
  <sheetFormatPr defaultRowHeight="15" x14ac:dyDescent="0.25"/>
  <cols>
    <col min="1" max="1" width="10.140625" bestFit="1" customWidth="1"/>
    <col min="2" max="2" width="16.85546875" bestFit="1" customWidth="1"/>
    <col min="3" max="3" width="21.140625" bestFit="1" customWidth="1"/>
    <col min="4" max="4" width="20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43952</v>
      </c>
      <c r="B2">
        <v>211</v>
      </c>
      <c r="C2">
        <v>281</v>
      </c>
      <c r="D2">
        <v>88</v>
      </c>
    </row>
    <row r="3" spans="1:4" x14ac:dyDescent="0.25">
      <c r="A3" s="1">
        <v>43953</v>
      </c>
      <c r="B3">
        <v>393</v>
      </c>
      <c r="C3">
        <v>313</v>
      </c>
      <c r="D3">
        <v>83</v>
      </c>
    </row>
    <row r="4" spans="1:4" x14ac:dyDescent="0.25">
      <c r="A4" s="1">
        <v>43954</v>
      </c>
      <c r="B4">
        <v>389</v>
      </c>
      <c r="C4">
        <v>315</v>
      </c>
      <c r="D4">
        <v>104</v>
      </c>
    </row>
    <row r="5" spans="1:4" x14ac:dyDescent="0.25">
      <c r="A5" s="1">
        <v>43955</v>
      </c>
      <c r="B5">
        <v>308</v>
      </c>
      <c r="C5">
        <v>221</v>
      </c>
      <c r="D5">
        <v>119</v>
      </c>
    </row>
    <row r="6" spans="1:4" x14ac:dyDescent="0.25">
      <c r="A6" s="1">
        <v>43956</v>
      </c>
      <c r="B6">
        <v>387</v>
      </c>
      <c r="C6">
        <v>275</v>
      </c>
      <c r="D6">
        <v>72</v>
      </c>
    </row>
    <row r="7" spans="1:4" x14ac:dyDescent="0.25">
      <c r="A7" s="1">
        <v>43957</v>
      </c>
      <c r="B7">
        <v>294</v>
      </c>
      <c r="C7">
        <v>366</v>
      </c>
      <c r="D7">
        <v>99</v>
      </c>
    </row>
    <row r="8" spans="1:4" x14ac:dyDescent="0.25">
      <c r="A8" s="1">
        <v>43958</v>
      </c>
      <c r="B8">
        <v>389</v>
      </c>
      <c r="C8">
        <v>288</v>
      </c>
      <c r="D8">
        <v>87</v>
      </c>
    </row>
    <row r="9" spans="1:4" x14ac:dyDescent="0.25">
      <c r="A9" s="1">
        <v>43959</v>
      </c>
      <c r="B9">
        <v>259</v>
      </c>
      <c r="C9">
        <v>361</v>
      </c>
      <c r="D9">
        <v>112</v>
      </c>
    </row>
    <row r="10" spans="1:4" x14ac:dyDescent="0.25">
      <c r="A10" s="1">
        <v>43960</v>
      </c>
      <c r="B10">
        <v>369</v>
      </c>
      <c r="C10">
        <v>233</v>
      </c>
      <c r="D10">
        <v>110</v>
      </c>
    </row>
    <row r="11" spans="1:4" x14ac:dyDescent="0.25">
      <c r="A11" s="1">
        <v>43961</v>
      </c>
      <c r="B11">
        <v>263</v>
      </c>
      <c r="C11">
        <v>393</v>
      </c>
      <c r="D11">
        <v>75</v>
      </c>
    </row>
    <row r="12" spans="1:4" x14ac:dyDescent="0.25">
      <c r="A12" s="1">
        <v>43962</v>
      </c>
      <c r="B12">
        <v>239</v>
      </c>
      <c r="C12">
        <v>347</v>
      </c>
      <c r="D12">
        <v>94</v>
      </c>
    </row>
    <row r="13" spans="1:4" x14ac:dyDescent="0.25">
      <c r="A13" s="1">
        <v>43963</v>
      </c>
      <c r="B13">
        <v>282</v>
      </c>
      <c r="C13">
        <v>338</v>
      </c>
      <c r="D13">
        <v>86</v>
      </c>
    </row>
    <row r="14" spans="1:4" x14ac:dyDescent="0.25">
      <c r="A14" s="1">
        <v>43964</v>
      </c>
      <c r="B14">
        <v>306</v>
      </c>
      <c r="C14">
        <v>273</v>
      </c>
      <c r="D14">
        <v>75</v>
      </c>
    </row>
    <row r="15" spans="1:4" x14ac:dyDescent="0.25">
      <c r="A15" s="1">
        <v>43965</v>
      </c>
      <c r="B15">
        <v>251</v>
      </c>
      <c r="C15">
        <v>325</v>
      </c>
      <c r="D15">
        <v>89</v>
      </c>
    </row>
    <row r="16" spans="1:4" x14ac:dyDescent="0.25">
      <c r="A16" s="1">
        <v>43966</v>
      </c>
      <c r="B16">
        <v>224</v>
      </c>
      <c r="C16">
        <v>352</v>
      </c>
      <c r="D16">
        <v>97</v>
      </c>
    </row>
    <row r="17" spans="1:4" x14ac:dyDescent="0.25">
      <c r="A17" s="1">
        <v>43967</v>
      </c>
      <c r="B17">
        <v>233</v>
      </c>
      <c r="C17">
        <v>270</v>
      </c>
      <c r="D17">
        <v>94</v>
      </c>
    </row>
    <row r="18" spans="1:4" x14ac:dyDescent="0.25">
      <c r="A18" s="1">
        <v>43968</v>
      </c>
      <c r="B18">
        <v>345</v>
      </c>
      <c r="C18">
        <v>275</v>
      </c>
      <c r="D18">
        <v>90</v>
      </c>
    </row>
    <row r="19" spans="1:4" x14ac:dyDescent="0.25">
      <c r="A19" s="1">
        <v>43969</v>
      </c>
      <c r="B19">
        <v>232</v>
      </c>
      <c r="C19">
        <v>228</v>
      </c>
      <c r="D19">
        <v>107</v>
      </c>
    </row>
    <row r="20" spans="1:4" x14ac:dyDescent="0.25">
      <c r="A20" s="1">
        <v>43970</v>
      </c>
      <c r="B20">
        <v>238</v>
      </c>
      <c r="C20">
        <v>394</v>
      </c>
      <c r="D20">
        <v>105</v>
      </c>
    </row>
    <row r="21" spans="1:4" x14ac:dyDescent="0.25">
      <c r="A21" s="1">
        <v>43971</v>
      </c>
      <c r="B21">
        <v>378</v>
      </c>
      <c r="C21">
        <v>311</v>
      </c>
      <c r="D21">
        <v>110</v>
      </c>
    </row>
    <row r="22" spans="1:4" x14ac:dyDescent="0.25">
      <c r="A22" s="1">
        <v>43972</v>
      </c>
      <c r="B22">
        <v>281</v>
      </c>
      <c r="C22">
        <v>354</v>
      </c>
      <c r="D22">
        <v>121</v>
      </c>
    </row>
    <row r="23" spans="1:4" x14ac:dyDescent="0.25">
      <c r="A23" s="1">
        <v>43973</v>
      </c>
      <c r="B23">
        <v>390</v>
      </c>
      <c r="C23">
        <v>267</v>
      </c>
      <c r="D23">
        <v>124</v>
      </c>
    </row>
    <row r="24" spans="1:4" x14ac:dyDescent="0.25">
      <c r="A24" s="1">
        <v>43974</v>
      </c>
      <c r="B24">
        <v>308</v>
      </c>
      <c r="C24">
        <v>337</v>
      </c>
      <c r="D24">
        <v>105</v>
      </c>
    </row>
    <row r="25" spans="1:4" x14ac:dyDescent="0.25">
      <c r="A25" s="1">
        <v>43975</v>
      </c>
      <c r="B25">
        <v>391</v>
      </c>
      <c r="C25">
        <v>238</v>
      </c>
      <c r="D25">
        <v>113</v>
      </c>
    </row>
    <row r="26" spans="1:4" x14ac:dyDescent="0.25">
      <c r="A26" s="1">
        <v>43976</v>
      </c>
      <c r="B26">
        <v>241</v>
      </c>
      <c r="C26">
        <v>283</v>
      </c>
      <c r="D26">
        <v>140</v>
      </c>
    </row>
    <row r="27" spans="1:4" x14ac:dyDescent="0.25">
      <c r="A27" s="1">
        <v>43977</v>
      </c>
      <c r="B27">
        <v>249</v>
      </c>
      <c r="C27">
        <v>275</v>
      </c>
      <c r="D27">
        <v>118</v>
      </c>
    </row>
    <row r="28" spans="1:4" x14ac:dyDescent="0.25">
      <c r="A28" s="1">
        <v>43978</v>
      </c>
      <c r="B28">
        <v>298</v>
      </c>
      <c r="C28">
        <v>263</v>
      </c>
      <c r="D28">
        <v>145</v>
      </c>
    </row>
    <row r="29" spans="1:4" x14ac:dyDescent="0.25">
      <c r="A29" s="1">
        <v>43979</v>
      </c>
      <c r="B29">
        <v>254</v>
      </c>
      <c r="C29">
        <v>241</v>
      </c>
      <c r="D29">
        <v>149</v>
      </c>
    </row>
    <row r="30" spans="1:4" x14ac:dyDescent="0.25">
      <c r="A30" s="1">
        <v>43980</v>
      </c>
      <c r="B30">
        <v>329</v>
      </c>
      <c r="C30">
        <v>323</v>
      </c>
      <c r="D30">
        <v>134</v>
      </c>
    </row>
    <row r="31" spans="1:4" x14ac:dyDescent="0.25">
      <c r="A31" s="1">
        <v>43981</v>
      </c>
      <c r="B31">
        <v>213</v>
      </c>
      <c r="C31">
        <v>221</v>
      </c>
      <c r="D31">
        <v>119</v>
      </c>
    </row>
    <row r="32" spans="1:4" x14ac:dyDescent="0.25">
      <c r="A32" s="1">
        <v>43982</v>
      </c>
      <c r="B32">
        <v>294</v>
      </c>
      <c r="C32">
        <v>326</v>
      </c>
      <c r="D32">
        <v>145</v>
      </c>
    </row>
    <row r="33" spans="1:4" x14ac:dyDescent="0.25">
      <c r="A33" s="1">
        <v>43983</v>
      </c>
      <c r="B33">
        <v>225</v>
      </c>
      <c r="C33">
        <v>206</v>
      </c>
      <c r="D33">
        <v>122</v>
      </c>
    </row>
    <row r="34" spans="1:4" x14ac:dyDescent="0.25">
      <c r="A34" s="1">
        <v>43984</v>
      </c>
      <c r="B34">
        <v>264</v>
      </c>
      <c r="C34">
        <v>355</v>
      </c>
      <c r="D34">
        <v>134</v>
      </c>
    </row>
    <row r="35" spans="1:4" x14ac:dyDescent="0.25">
      <c r="A35" s="1">
        <v>43985</v>
      </c>
      <c r="B35">
        <v>253</v>
      </c>
      <c r="C35">
        <v>271</v>
      </c>
      <c r="D35">
        <v>142</v>
      </c>
    </row>
    <row r="36" spans="1:4" x14ac:dyDescent="0.25">
      <c r="A36" s="1">
        <v>43986</v>
      </c>
      <c r="B36">
        <v>352</v>
      </c>
      <c r="C36">
        <v>207</v>
      </c>
      <c r="D36">
        <v>125</v>
      </c>
    </row>
    <row r="37" spans="1:4" x14ac:dyDescent="0.25">
      <c r="A37" s="1">
        <v>43987</v>
      </c>
      <c r="B37">
        <v>269</v>
      </c>
      <c r="C37">
        <v>248</v>
      </c>
      <c r="D37">
        <v>137</v>
      </c>
    </row>
    <row r="38" spans="1:4" x14ac:dyDescent="0.25">
      <c r="A38" s="1">
        <v>43988</v>
      </c>
      <c r="B38">
        <v>242</v>
      </c>
      <c r="C38">
        <v>247</v>
      </c>
      <c r="D38">
        <v>125</v>
      </c>
    </row>
    <row r="39" spans="1:4" x14ac:dyDescent="0.25">
      <c r="A39" s="1">
        <v>43989</v>
      </c>
      <c r="B39">
        <v>327</v>
      </c>
      <c r="C39">
        <v>262</v>
      </c>
      <c r="D39">
        <v>103</v>
      </c>
    </row>
    <row r="40" spans="1:4" x14ac:dyDescent="0.25">
      <c r="A40" s="1">
        <v>43990</v>
      </c>
      <c r="B40">
        <v>316</v>
      </c>
      <c r="C40">
        <v>253</v>
      </c>
      <c r="D40">
        <v>134</v>
      </c>
    </row>
    <row r="41" spans="1:4" x14ac:dyDescent="0.25">
      <c r="A41" s="1">
        <v>43991</v>
      </c>
      <c r="B41">
        <v>294</v>
      </c>
      <c r="C41">
        <v>249</v>
      </c>
      <c r="D41">
        <v>137</v>
      </c>
    </row>
    <row r="42" spans="1:4" x14ac:dyDescent="0.25">
      <c r="A42" s="1">
        <v>43992</v>
      </c>
      <c r="B42">
        <v>270</v>
      </c>
      <c r="C42">
        <v>206</v>
      </c>
      <c r="D42">
        <v>146</v>
      </c>
    </row>
    <row r="43" spans="1:4" x14ac:dyDescent="0.25">
      <c r="A43" s="1">
        <v>43993</v>
      </c>
      <c r="B43">
        <v>349</v>
      </c>
      <c r="C43">
        <v>301</v>
      </c>
      <c r="D43">
        <v>138</v>
      </c>
    </row>
    <row r="44" spans="1:4" x14ac:dyDescent="0.25">
      <c r="A44" s="1">
        <v>43994</v>
      </c>
      <c r="B44">
        <v>224</v>
      </c>
      <c r="C44">
        <v>385</v>
      </c>
      <c r="D44">
        <v>138</v>
      </c>
    </row>
    <row r="45" spans="1:4" x14ac:dyDescent="0.25">
      <c r="A45" s="1">
        <v>43995</v>
      </c>
      <c r="B45">
        <v>309</v>
      </c>
      <c r="C45">
        <v>204</v>
      </c>
      <c r="D45">
        <v>140</v>
      </c>
    </row>
    <row r="46" spans="1:4" x14ac:dyDescent="0.25">
      <c r="A46" s="1">
        <v>43996</v>
      </c>
      <c r="B46">
        <v>246</v>
      </c>
      <c r="C46">
        <v>275</v>
      </c>
      <c r="D46">
        <v>130</v>
      </c>
    </row>
    <row r="47" spans="1:4" x14ac:dyDescent="0.25">
      <c r="A47" s="1">
        <v>43997</v>
      </c>
      <c r="B47">
        <v>241</v>
      </c>
      <c r="C47">
        <v>247</v>
      </c>
      <c r="D47">
        <v>166</v>
      </c>
    </row>
    <row r="48" spans="1:4" x14ac:dyDescent="0.25">
      <c r="A48" s="1">
        <v>43998</v>
      </c>
      <c r="B48">
        <v>365</v>
      </c>
      <c r="C48">
        <v>256</v>
      </c>
      <c r="D48">
        <v>132</v>
      </c>
    </row>
    <row r="49" spans="1:4" x14ac:dyDescent="0.25">
      <c r="A49" s="1">
        <v>43999</v>
      </c>
      <c r="B49">
        <v>225</v>
      </c>
      <c r="C49">
        <v>392</v>
      </c>
      <c r="D49">
        <v>158</v>
      </c>
    </row>
    <row r="50" spans="1:4" x14ac:dyDescent="0.25">
      <c r="A50" s="1">
        <v>44000</v>
      </c>
      <c r="B50">
        <v>335</v>
      </c>
      <c r="C50">
        <v>254</v>
      </c>
      <c r="D50">
        <v>173</v>
      </c>
    </row>
    <row r="51" spans="1:4" x14ac:dyDescent="0.25">
      <c r="A51" s="1">
        <v>44001</v>
      </c>
      <c r="B51">
        <v>376</v>
      </c>
      <c r="C51">
        <v>258</v>
      </c>
      <c r="D51">
        <v>151</v>
      </c>
    </row>
    <row r="52" spans="1:4" x14ac:dyDescent="0.25">
      <c r="A52" s="1">
        <v>44002</v>
      </c>
      <c r="B52">
        <v>310</v>
      </c>
      <c r="C52">
        <v>248</v>
      </c>
      <c r="D52">
        <v>173</v>
      </c>
    </row>
    <row r="53" spans="1:4" x14ac:dyDescent="0.25">
      <c r="A53" s="1">
        <v>44003</v>
      </c>
      <c r="B53">
        <v>408</v>
      </c>
      <c r="C53">
        <v>250</v>
      </c>
      <c r="D53">
        <v>242</v>
      </c>
    </row>
    <row r="54" spans="1:4" x14ac:dyDescent="0.25">
      <c r="A54" s="1">
        <v>44004</v>
      </c>
      <c r="B54">
        <v>256</v>
      </c>
      <c r="C54">
        <v>393</v>
      </c>
      <c r="D54">
        <v>219</v>
      </c>
    </row>
    <row r="55" spans="1:4" x14ac:dyDescent="0.25">
      <c r="A55" s="1">
        <v>44005</v>
      </c>
      <c r="B55">
        <v>322</v>
      </c>
      <c r="C55">
        <v>425</v>
      </c>
      <c r="D55">
        <v>215</v>
      </c>
    </row>
    <row r="56" spans="1:4" x14ac:dyDescent="0.25">
      <c r="A56" s="1">
        <v>44006</v>
      </c>
      <c r="B56">
        <v>447</v>
      </c>
      <c r="C56">
        <v>385</v>
      </c>
      <c r="D56">
        <v>212</v>
      </c>
    </row>
    <row r="57" spans="1:4" x14ac:dyDescent="0.25">
      <c r="A57" s="1">
        <v>44007</v>
      </c>
      <c r="B57">
        <v>408</v>
      </c>
      <c r="C57">
        <v>260</v>
      </c>
      <c r="D57">
        <v>225</v>
      </c>
    </row>
    <row r="58" spans="1:4" x14ac:dyDescent="0.25">
      <c r="A58" s="1">
        <v>44008</v>
      </c>
      <c r="B58">
        <v>283</v>
      </c>
      <c r="C58">
        <v>396</v>
      </c>
      <c r="D58">
        <v>221</v>
      </c>
    </row>
    <row r="59" spans="1:4" x14ac:dyDescent="0.25">
      <c r="A59" s="1">
        <v>44009</v>
      </c>
      <c r="B59">
        <v>414</v>
      </c>
      <c r="C59">
        <v>314</v>
      </c>
      <c r="D59">
        <v>220</v>
      </c>
    </row>
    <row r="60" spans="1:4" x14ac:dyDescent="0.25">
      <c r="A60" s="1">
        <v>44010</v>
      </c>
      <c r="B60">
        <v>442</v>
      </c>
      <c r="C60">
        <v>449</v>
      </c>
      <c r="D60">
        <v>245</v>
      </c>
    </row>
    <row r="61" spans="1:4" x14ac:dyDescent="0.25">
      <c r="A61" s="1">
        <v>44011</v>
      </c>
      <c r="B61">
        <v>269</v>
      </c>
      <c r="C61">
        <v>370</v>
      </c>
      <c r="D61">
        <v>242</v>
      </c>
    </row>
    <row r="62" spans="1:4" x14ac:dyDescent="0.25">
      <c r="A62" s="1">
        <v>44012</v>
      </c>
      <c r="B62">
        <v>444</v>
      </c>
      <c r="C62">
        <v>350</v>
      </c>
      <c r="D62">
        <v>236</v>
      </c>
    </row>
    <row r="63" spans="1:4" x14ac:dyDescent="0.25">
      <c r="A63" s="1">
        <v>44013</v>
      </c>
      <c r="B63">
        <v>425</v>
      </c>
      <c r="C63">
        <v>342</v>
      </c>
      <c r="D63">
        <v>237</v>
      </c>
    </row>
    <row r="64" spans="1:4" x14ac:dyDescent="0.25">
      <c r="A64" s="1">
        <v>44014</v>
      </c>
      <c r="B64">
        <v>377</v>
      </c>
      <c r="C64">
        <v>290</v>
      </c>
      <c r="D64">
        <v>240</v>
      </c>
    </row>
    <row r="65" spans="1:4" x14ac:dyDescent="0.25">
      <c r="A65" s="1">
        <v>44015</v>
      </c>
      <c r="B65">
        <v>382</v>
      </c>
      <c r="C65">
        <v>360</v>
      </c>
      <c r="D65">
        <v>203</v>
      </c>
    </row>
    <row r="66" spans="1:4" x14ac:dyDescent="0.25">
      <c r="A66" s="1">
        <v>44016</v>
      </c>
      <c r="B66">
        <v>287</v>
      </c>
      <c r="C66">
        <v>428</v>
      </c>
      <c r="D66">
        <v>204</v>
      </c>
    </row>
    <row r="67" spans="1:4" x14ac:dyDescent="0.25">
      <c r="A67" s="1">
        <v>44017</v>
      </c>
      <c r="B67">
        <v>429</v>
      </c>
      <c r="C67">
        <v>394</v>
      </c>
      <c r="D67">
        <v>246</v>
      </c>
    </row>
    <row r="68" spans="1:4" x14ac:dyDescent="0.25">
      <c r="A68" s="1">
        <v>44018</v>
      </c>
      <c r="B68">
        <v>287</v>
      </c>
      <c r="C68">
        <v>356</v>
      </c>
      <c r="D68">
        <v>233</v>
      </c>
    </row>
    <row r="69" spans="1:4" x14ac:dyDescent="0.25">
      <c r="A69" s="1">
        <v>44019</v>
      </c>
      <c r="B69">
        <v>421</v>
      </c>
      <c r="C69">
        <v>292</v>
      </c>
      <c r="D69">
        <v>226</v>
      </c>
    </row>
    <row r="70" spans="1:4" x14ac:dyDescent="0.25">
      <c r="A70" s="1">
        <v>44020</v>
      </c>
      <c r="B70">
        <v>334</v>
      </c>
      <c r="C70">
        <v>353</v>
      </c>
      <c r="D70">
        <v>282</v>
      </c>
    </row>
    <row r="71" spans="1:4" x14ac:dyDescent="0.25">
      <c r="A71" s="1">
        <v>44021</v>
      </c>
      <c r="B71">
        <v>282</v>
      </c>
      <c r="C71">
        <v>329</v>
      </c>
      <c r="D71">
        <v>262</v>
      </c>
    </row>
    <row r="72" spans="1:4" x14ac:dyDescent="0.25">
      <c r="A72" s="1">
        <v>44022</v>
      </c>
      <c r="B72">
        <v>356</v>
      </c>
      <c r="C72">
        <v>331</v>
      </c>
      <c r="D72">
        <v>290</v>
      </c>
    </row>
    <row r="73" spans="1:4" x14ac:dyDescent="0.25">
      <c r="A73" s="1">
        <v>44023</v>
      </c>
      <c r="B73">
        <v>307</v>
      </c>
      <c r="C73">
        <v>394</v>
      </c>
      <c r="D73">
        <v>256</v>
      </c>
    </row>
    <row r="74" spans="1:4" x14ac:dyDescent="0.25">
      <c r="A74" s="1">
        <v>44024</v>
      </c>
      <c r="B74">
        <v>441</v>
      </c>
      <c r="C74">
        <v>271</v>
      </c>
      <c r="D74">
        <v>292</v>
      </c>
    </row>
    <row r="75" spans="1:4" x14ac:dyDescent="0.25">
      <c r="A75" s="1">
        <v>44025</v>
      </c>
      <c r="B75">
        <v>407</v>
      </c>
      <c r="C75">
        <v>311</v>
      </c>
      <c r="D75">
        <v>280</v>
      </c>
    </row>
    <row r="76" spans="1:4" x14ac:dyDescent="0.25">
      <c r="A76" s="1">
        <v>44026</v>
      </c>
      <c r="B76">
        <v>480</v>
      </c>
      <c r="C76">
        <v>342</v>
      </c>
      <c r="D76">
        <v>292</v>
      </c>
    </row>
    <row r="77" spans="1:4" x14ac:dyDescent="0.25">
      <c r="A77" s="1">
        <v>44027</v>
      </c>
      <c r="B77">
        <v>494</v>
      </c>
      <c r="C77">
        <v>310</v>
      </c>
      <c r="D77">
        <v>275</v>
      </c>
    </row>
    <row r="78" spans="1:4" x14ac:dyDescent="0.25">
      <c r="A78" s="1">
        <v>44028</v>
      </c>
      <c r="B78">
        <v>493</v>
      </c>
      <c r="C78">
        <v>431</v>
      </c>
      <c r="D78">
        <v>283</v>
      </c>
    </row>
    <row r="79" spans="1:4" x14ac:dyDescent="0.25">
      <c r="A79" s="1">
        <v>44029</v>
      </c>
      <c r="B79">
        <v>302</v>
      </c>
      <c r="C79">
        <v>415</v>
      </c>
      <c r="D79">
        <v>297</v>
      </c>
    </row>
    <row r="80" spans="1:4" x14ac:dyDescent="0.25">
      <c r="A80" s="1">
        <v>44030</v>
      </c>
      <c r="B80">
        <v>331</v>
      </c>
      <c r="C80">
        <v>353</v>
      </c>
      <c r="D80">
        <v>373</v>
      </c>
    </row>
    <row r="81" spans="1:4" x14ac:dyDescent="0.25">
      <c r="A81" s="1">
        <v>44031</v>
      </c>
      <c r="B81">
        <v>486</v>
      </c>
      <c r="C81">
        <v>323</v>
      </c>
      <c r="D81">
        <v>359</v>
      </c>
    </row>
    <row r="82" spans="1:4" x14ac:dyDescent="0.25">
      <c r="A82" s="1">
        <v>44032</v>
      </c>
      <c r="B82">
        <v>360</v>
      </c>
      <c r="C82">
        <v>331</v>
      </c>
      <c r="D82">
        <v>445</v>
      </c>
    </row>
    <row r="83" spans="1:4" x14ac:dyDescent="0.25">
      <c r="A83" s="1">
        <v>44033</v>
      </c>
      <c r="B83">
        <v>391</v>
      </c>
      <c r="C83">
        <v>455</v>
      </c>
      <c r="D83">
        <v>427</v>
      </c>
    </row>
    <row r="84" spans="1:4" x14ac:dyDescent="0.25">
      <c r="A84" s="1">
        <v>44034</v>
      </c>
      <c r="B84">
        <v>327</v>
      </c>
      <c r="C84">
        <v>471</v>
      </c>
      <c r="D84">
        <v>423</v>
      </c>
    </row>
    <row r="85" spans="1:4" x14ac:dyDescent="0.25">
      <c r="A85" s="1">
        <v>44035</v>
      </c>
      <c r="B85">
        <v>355</v>
      </c>
      <c r="C85">
        <v>490</v>
      </c>
      <c r="D85">
        <v>449</v>
      </c>
    </row>
    <row r="86" spans="1:4" x14ac:dyDescent="0.25">
      <c r="A86" s="1">
        <v>44036</v>
      </c>
      <c r="B86">
        <v>360</v>
      </c>
      <c r="C86">
        <v>339</v>
      </c>
      <c r="D86">
        <v>470</v>
      </c>
    </row>
    <row r="87" spans="1:4" x14ac:dyDescent="0.25">
      <c r="A87" s="1">
        <v>44037</v>
      </c>
      <c r="B87">
        <v>303</v>
      </c>
      <c r="C87">
        <v>404</v>
      </c>
      <c r="D87">
        <v>434</v>
      </c>
    </row>
    <row r="88" spans="1:4" x14ac:dyDescent="0.25">
      <c r="A88" s="1">
        <v>44038</v>
      </c>
      <c r="B88">
        <v>310</v>
      </c>
      <c r="C88">
        <v>332</v>
      </c>
      <c r="D88">
        <v>536</v>
      </c>
    </row>
    <row r="89" spans="1:4" x14ac:dyDescent="0.25">
      <c r="A89" s="1">
        <v>44039</v>
      </c>
      <c r="B89">
        <v>435</v>
      </c>
      <c r="C89">
        <v>406</v>
      </c>
      <c r="D89">
        <v>421</v>
      </c>
    </row>
    <row r="90" spans="1:4" x14ac:dyDescent="0.25">
      <c r="A90" s="1">
        <v>44040</v>
      </c>
      <c r="B90">
        <v>344</v>
      </c>
      <c r="C90">
        <v>348</v>
      </c>
      <c r="D90">
        <v>555</v>
      </c>
    </row>
    <row r="91" spans="1:4" x14ac:dyDescent="0.25">
      <c r="A91" s="1">
        <v>44041</v>
      </c>
      <c r="B91">
        <v>303</v>
      </c>
      <c r="C91">
        <v>335</v>
      </c>
      <c r="D91">
        <v>436</v>
      </c>
    </row>
    <row r="92" spans="1:4" x14ac:dyDescent="0.25">
      <c r="A92" s="1">
        <v>44042</v>
      </c>
      <c r="B92">
        <v>433</v>
      </c>
      <c r="C92">
        <v>425</v>
      </c>
      <c r="D92">
        <v>422</v>
      </c>
    </row>
    <row r="93" spans="1:4" x14ac:dyDescent="0.25">
      <c r="A93" s="1">
        <v>44043</v>
      </c>
      <c r="B93">
        <v>350</v>
      </c>
      <c r="C93">
        <v>378</v>
      </c>
      <c r="D93">
        <v>419</v>
      </c>
    </row>
    <row r="94" spans="1:4" x14ac:dyDescent="0.25">
      <c r="A94" s="1">
        <v>44044</v>
      </c>
      <c r="B94">
        <v>396</v>
      </c>
      <c r="C94">
        <v>466</v>
      </c>
      <c r="D94">
        <v>434</v>
      </c>
    </row>
    <row r="95" spans="1:4" x14ac:dyDescent="0.25">
      <c r="A95" s="1">
        <v>44045</v>
      </c>
      <c r="B95">
        <v>495</v>
      </c>
      <c r="C95">
        <v>410</v>
      </c>
      <c r="D95">
        <v>418</v>
      </c>
    </row>
    <row r="96" spans="1:4" x14ac:dyDescent="0.25">
      <c r="A96" s="1">
        <v>44046</v>
      </c>
      <c r="B96">
        <v>420</v>
      </c>
      <c r="C96">
        <v>328</v>
      </c>
      <c r="D96">
        <v>422</v>
      </c>
    </row>
    <row r="97" spans="1:4" x14ac:dyDescent="0.25">
      <c r="A97" s="1">
        <v>44047</v>
      </c>
      <c r="B97">
        <v>411</v>
      </c>
      <c r="C97">
        <v>481</v>
      </c>
      <c r="D97">
        <v>445</v>
      </c>
    </row>
    <row r="98" spans="1:4" x14ac:dyDescent="0.25">
      <c r="A98" s="1">
        <v>44048</v>
      </c>
      <c r="B98">
        <v>317</v>
      </c>
      <c r="C98">
        <v>434</v>
      </c>
      <c r="D98">
        <v>411</v>
      </c>
    </row>
    <row r="99" spans="1:4" x14ac:dyDescent="0.25">
      <c r="A99" s="1">
        <v>44049</v>
      </c>
      <c r="B99">
        <v>342</v>
      </c>
      <c r="C99">
        <v>465</v>
      </c>
      <c r="D99">
        <v>417</v>
      </c>
    </row>
    <row r="100" spans="1:4" x14ac:dyDescent="0.25">
      <c r="A100" s="1">
        <v>44050</v>
      </c>
      <c r="B100">
        <v>450</v>
      </c>
      <c r="C100">
        <v>318</v>
      </c>
      <c r="D100">
        <v>490</v>
      </c>
    </row>
    <row r="101" spans="1:4" x14ac:dyDescent="0.25">
      <c r="A101" s="1">
        <v>44051</v>
      </c>
      <c r="B101">
        <v>343</v>
      </c>
      <c r="C101">
        <v>329</v>
      </c>
      <c r="D101">
        <v>345</v>
      </c>
    </row>
    <row r="102" spans="1:4" x14ac:dyDescent="0.25">
      <c r="A102" s="1">
        <v>44052</v>
      </c>
      <c r="B102">
        <v>287</v>
      </c>
      <c r="C102">
        <v>328</v>
      </c>
      <c r="D102">
        <v>377</v>
      </c>
    </row>
    <row r="103" spans="1:4" x14ac:dyDescent="0.25">
      <c r="A103" s="1">
        <v>44053</v>
      </c>
      <c r="B103">
        <v>298</v>
      </c>
      <c r="C103">
        <v>401</v>
      </c>
      <c r="D103">
        <v>416</v>
      </c>
    </row>
    <row r="104" spans="1:4" x14ac:dyDescent="0.25">
      <c r="A104" s="1">
        <v>44054</v>
      </c>
      <c r="B104">
        <v>429</v>
      </c>
      <c r="C104">
        <v>348</v>
      </c>
      <c r="D104">
        <v>426</v>
      </c>
    </row>
    <row r="105" spans="1:4" x14ac:dyDescent="0.25">
      <c r="A105" s="1">
        <v>44055</v>
      </c>
      <c r="B105">
        <v>417</v>
      </c>
      <c r="C105">
        <v>457</v>
      </c>
      <c r="D105">
        <v>438</v>
      </c>
    </row>
    <row r="106" spans="1:4" x14ac:dyDescent="0.25">
      <c r="A106" s="1">
        <v>44056</v>
      </c>
      <c r="B106">
        <v>384</v>
      </c>
      <c r="C106">
        <v>330</v>
      </c>
      <c r="D106">
        <v>292</v>
      </c>
    </row>
    <row r="107" spans="1:4" x14ac:dyDescent="0.25">
      <c r="A107" s="1">
        <v>44057</v>
      </c>
      <c r="B107">
        <v>370</v>
      </c>
      <c r="C107">
        <v>388</v>
      </c>
      <c r="D107">
        <v>390</v>
      </c>
    </row>
    <row r="108" spans="1:4" x14ac:dyDescent="0.25">
      <c r="A108" s="1">
        <v>44058</v>
      </c>
      <c r="B108">
        <v>436</v>
      </c>
      <c r="C108">
        <v>298</v>
      </c>
      <c r="D108">
        <v>420</v>
      </c>
    </row>
    <row r="109" spans="1:4" x14ac:dyDescent="0.25">
      <c r="A109" s="1">
        <v>44059</v>
      </c>
      <c r="B109">
        <v>303</v>
      </c>
      <c r="C109">
        <v>429</v>
      </c>
      <c r="D109">
        <v>407</v>
      </c>
    </row>
    <row r="110" spans="1:4" x14ac:dyDescent="0.25">
      <c r="A110" s="1">
        <v>44060</v>
      </c>
      <c r="B110">
        <v>449</v>
      </c>
      <c r="C110">
        <v>444</v>
      </c>
      <c r="D110">
        <v>425</v>
      </c>
    </row>
    <row r="111" spans="1:4" x14ac:dyDescent="0.25">
      <c r="A111" s="1">
        <v>44061</v>
      </c>
      <c r="B111">
        <v>300</v>
      </c>
      <c r="C111">
        <v>358</v>
      </c>
      <c r="D111">
        <v>377</v>
      </c>
    </row>
    <row r="112" spans="1:4" x14ac:dyDescent="0.25">
      <c r="A112" s="1">
        <v>44062</v>
      </c>
      <c r="B112">
        <v>307</v>
      </c>
      <c r="C112">
        <v>417</v>
      </c>
      <c r="D112">
        <v>405</v>
      </c>
    </row>
    <row r="113" spans="1:4" x14ac:dyDescent="0.25">
      <c r="A113" s="1">
        <v>44063</v>
      </c>
      <c r="B113">
        <v>314</v>
      </c>
      <c r="C113">
        <v>340</v>
      </c>
      <c r="D113">
        <v>345</v>
      </c>
    </row>
    <row r="114" spans="1:4" x14ac:dyDescent="0.25">
      <c r="A114" s="1">
        <v>44064</v>
      </c>
      <c r="B114">
        <v>379</v>
      </c>
      <c r="C114">
        <v>288</v>
      </c>
      <c r="D114">
        <v>353</v>
      </c>
    </row>
    <row r="115" spans="1:4" x14ac:dyDescent="0.25">
      <c r="A115" s="1">
        <v>44065</v>
      </c>
      <c r="B115">
        <v>405</v>
      </c>
      <c r="C115">
        <v>454</v>
      </c>
      <c r="D115">
        <v>342</v>
      </c>
    </row>
    <row r="116" spans="1:4" x14ac:dyDescent="0.25">
      <c r="A116" s="1">
        <v>44066</v>
      </c>
      <c r="B116">
        <v>407</v>
      </c>
      <c r="C116">
        <v>300</v>
      </c>
      <c r="D116">
        <v>365</v>
      </c>
    </row>
    <row r="117" spans="1:4" x14ac:dyDescent="0.25">
      <c r="A117" s="1">
        <v>44067</v>
      </c>
      <c r="B117">
        <v>432</v>
      </c>
      <c r="C117">
        <v>423</v>
      </c>
      <c r="D117">
        <v>221</v>
      </c>
    </row>
    <row r="118" spans="1:4" x14ac:dyDescent="0.25">
      <c r="A118" s="1">
        <v>44068</v>
      </c>
      <c r="B118">
        <v>405</v>
      </c>
      <c r="C118">
        <v>449</v>
      </c>
      <c r="D118">
        <v>231</v>
      </c>
    </row>
    <row r="119" spans="1:4" x14ac:dyDescent="0.25">
      <c r="A119" s="1">
        <v>44069</v>
      </c>
      <c r="B119">
        <v>162</v>
      </c>
      <c r="C119">
        <v>294</v>
      </c>
      <c r="D119">
        <v>255</v>
      </c>
    </row>
    <row r="120" spans="1:4" x14ac:dyDescent="0.25">
      <c r="A120" s="1">
        <v>44070</v>
      </c>
      <c r="B120">
        <v>297</v>
      </c>
      <c r="C120">
        <v>341</v>
      </c>
      <c r="D120">
        <v>223</v>
      </c>
    </row>
    <row r="121" spans="1:4" x14ac:dyDescent="0.25">
      <c r="A121" s="1">
        <v>44071</v>
      </c>
      <c r="B121">
        <v>226</v>
      </c>
      <c r="C121">
        <v>329</v>
      </c>
      <c r="D121">
        <v>261</v>
      </c>
    </row>
    <row r="122" spans="1:4" x14ac:dyDescent="0.25">
      <c r="A122" s="1">
        <v>44072</v>
      </c>
      <c r="B122">
        <v>226</v>
      </c>
      <c r="C122">
        <v>256</v>
      </c>
      <c r="D122">
        <v>239</v>
      </c>
    </row>
    <row r="123" spans="1:4" x14ac:dyDescent="0.25">
      <c r="A123" s="1">
        <v>44073</v>
      </c>
      <c r="B123">
        <v>287</v>
      </c>
      <c r="C123">
        <v>217</v>
      </c>
      <c r="D123">
        <v>262</v>
      </c>
    </row>
    <row r="124" spans="1:4" x14ac:dyDescent="0.25">
      <c r="A124" s="1">
        <v>44074</v>
      </c>
      <c r="B124">
        <v>351</v>
      </c>
      <c r="C124">
        <v>266</v>
      </c>
      <c r="D124">
        <v>226</v>
      </c>
    </row>
    <row r="125" spans="1:4" x14ac:dyDescent="0.25">
      <c r="A125" s="1">
        <v>44075</v>
      </c>
      <c r="B125">
        <v>214</v>
      </c>
      <c r="C125">
        <v>260</v>
      </c>
      <c r="D125">
        <v>241</v>
      </c>
    </row>
    <row r="126" spans="1:4" x14ac:dyDescent="0.25">
      <c r="A126" s="1">
        <v>44076</v>
      </c>
      <c r="B126">
        <v>282</v>
      </c>
      <c r="C126">
        <v>227</v>
      </c>
      <c r="D126">
        <v>258</v>
      </c>
    </row>
    <row r="127" spans="1:4" x14ac:dyDescent="0.25">
      <c r="A127" s="1">
        <v>44077</v>
      </c>
      <c r="B127">
        <v>257</v>
      </c>
      <c r="C127">
        <v>251</v>
      </c>
      <c r="D127">
        <v>252</v>
      </c>
    </row>
    <row r="128" spans="1:4" x14ac:dyDescent="0.25">
      <c r="A128" s="1">
        <v>44078</v>
      </c>
      <c r="B128">
        <v>172</v>
      </c>
      <c r="C128">
        <v>171</v>
      </c>
      <c r="D128">
        <v>268</v>
      </c>
    </row>
    <row r="129" spans="1:4" x14ac:dyDescent="0.25">
      <c r="A129" s="1">
        <v>44079</v>
      </c>
      <c r="B129">
        <v>197</v>
      </c>
      <c r="C129">
        <v>326</v>
      </c>
      <c r="D129">
        <v>224</v>
      </c>
    </row>
    <row r="130" spans="1:4" x14ac:dyDescent="0.25">
      <c r="A130" s="1">
        <v>44080</v>
      </c>
      <c r="B130">
        <v>292</v>
      </c>
      <c r="C130">
        <v>329</v>
      </c>
      <c r="D130">
        <v>255</v>
      </c>
    </row>
    <row r="131" spans="1:4" x14ac:dyDescent="0.25">
      <c r="A131" s="1">
        <v>44081</v>
      </c>
      <c r="B131">
        <v>172</v>
      </c>
      <c r="C131">
        <v>216</v>
      </c>
      <c r="D131">
        <v>199</v>
      </c>
    </row>
    <row r="132" spans="1:4" x14ac:dyDescent="0.25">
      <c r="A132" s="1">
        <v>44082</v>
      </c>
      <c r="B132">
        <v>258</v>
      </c>
      <c r="C132">
        <v>291</v>
      </c>
      <c r="D132">
        <v>220</v>
      </c>
    </row>
    <row r="133" spans="1:4" x14ac:dyDescent="0.25">
      <c r="A133" s="1">
        <v>44083</v>
      </c>
      <c r="B133">
        <v>276</v>
      </c>
      <c r="C133">
        <v>347</v>
      </c>
      <c r="D133">
        <v>197</v>
      </c>
    </row>
    <row r="134" spans="1:4" x14ac:dyDescent="0.25">
      <c r="A134" s="1">
        <v>44084</v>
      </c>
      <c r="B134">
        <v>210</v>
      </c>
      <c r="C134">
        <v>333</v>
      </c>
      <c r="D134">
        <v>218</v>
      </c>
    </row>
    <row r="135" spans="1:4" x14ac:dyDescent="0.25">
      <c r="A135" s="1">
        <v>44085</v>
      </c>
      <c r="B135">
        <v>168</v>
      </c>
      <c r="C135">
        <v>211</v>
      </c>
      <c r="D135">
        <v>180</v>
      </c>
    </row>
    <row r="136" spans="1:4" x14ac:dyDescent="0.25">
      <c r="A136" s="1">
        <v>44086</v>
      </c>
      <c r="B136">
        <v>196</v>
      </c>
      <c r="C136">
        <v>348</v>
      </c>
      <c r="D136">
        <v>225</v>
      </c>
    </row>
    <row r="137" spans="1:4" x14ac:dyDescent="0.25">
      <c r="A137" s="1">
        <v>44087</v>
      </c>
      <c r="B137">
        <v>284</v>
      </c>
      <c r="C137">
        <v>226</v>
      </c>
      <c r="D137">
        <v>197</v>
      </c>
    </row>
    <row r="138" spans="1:4" x14ac:dyDescent="0.25">
      <c r="A138" s="1">
        <v>44088</v>
      </c>
      <c r="B138">
        <v>162</v>
      </c>
      <c r="C138">
        <v>345</v>
      </c>
      <c r="D138">
        <v>194</v>
      </c>
    </row>
    <row r="139" spans="1:4" x14ac:dyDescent="0.25">
      <c r="A139" s="1">
        <v>44089</v>
      </c>
      <c r="B139">
        <v>212</v>
      </c>
      <c r="C139">
        <v>184</v>
      </c>
      <c r="D139">
        <v>183</v>
      </c>
    </row>
    <row r="140" spans="1:4" x14ac:dyDescent="0.25">
      <c r="A140" s="1">
        <v>44090</v>
      </c>
      <c r="B140">
        <v>165</v>
      </c>
      <c r="C140">
        <v>232</v>
      </c>
      <c r="D140">
        <v>202</v>
      </c>
    </row>
    <row r="141" spans="1:4" x14ac:dyDescent="0.25">
      <c r="A141" s="1">
        <v>44091</v>
      </c>
      <c r="B141">
        <v>163</v>
      </c>
      <c r="C141">
        <v>314</v>
      </c>
      <c r="D141">
        <v>213</v>
      </c>
    </row>
    <row r="142" spans="1:4" x14ac:dyDescent="0.25">
      <c r="A142" s="1">
        <v>44092</v>
      </c>
      <c r="B142">
        <v>200</v>
      </c>
      <c r="C142">
        <v>307</v>
      </c>
      <c r="D142">
        <v>206</v>
      </c>
    </row>
    <row r="143" spans="1:4" x14ac:dyDescent="0.25">
      <c r="A143" s="1">
        <v>44093</v>
      </c>
      <c r="B143">
        <v>201</v>
      </c>
      <c r="C143">
        <v>274</v>
      </c>
      <c r="D143">
        <v>210</v>
      </c>
    </row>
    <row r="144" spans="1:4" x14ac:dyDescent="0.25">
      <c r="A144" s="1">
        <v>44094</v>
      </c>
      <c r="B144">
        <v>269</v>
      </c>
      <c r="C144">
        <v>278</v>
      </c>
      <c r="D144">
        <v>228</v>
      </c>
    </row>
    <row r="145" spans="1:4" x14ac:dyDescent="0.25">
      <c r="A145" s="1">
        <v>44095</v>
      </c>
      <c r="B145">
        <v>188</v>
      </c>
      <c r="C145">
        <v>195</v>
      </c>
      <c r="D145">
        <v>207</v>
      </c>
    </row>
    <row r="146" spans="1:4" x14ac:dyDescent="0.25">
      <c r="A146" s="1">
        <v>44096</v>
      </c>
      <c r="B146">
        <v>142</v>
      </c>
      <c r="C146">
        <v>249</v>
      </c>
      <c r="D146">
        <v>202</v>
      </c>
    </row>
    <row r="147" spans="1:4" x14ac:dyDescent="0.25">
      <c r="A147" s="1">
        <v>44097</v>
      </c>
      <c r="B147">
        <v>232</v>
      </c>
      <c r="C147">
        <v>116</v>
      </c>
      <c r="D147">
        <v>195</v>
      </c>
    </row>
    <row r="148" spans="1:4" x14ac:dyDescent="0.25">
      <c r="A148" s="1">
        <v>44098</v>
      </c>
      <c r="B148">
        <v>296</v>
      </c>
      <c r="C148">
        <v>102</v>
      </c>
      <c r="D148">
        <v>192</v>
      </c>
    </row>
    <row r="149" spans="1:4" x14ac:dyDescent="0.25">
      <c r="A149" s="1">
        <v>44099</v>
      </c>
      <c r="B149">
        <v>161</v>
      </c>
      <c r="C149">
        <v>151</v>
      </c>
      <c r="D149">
        <v>216</v>
      </c>
    </row>
    <row r="150" spans="1:4" x14ac:dyDescent="0.25">
      <c r="A150" s="1">
        <v>44100</v>
      </c>
      <c r="B150">
        <v>162</v>
      </c>
      <c r="C150">
        <v>261</v>
      </c>
      <c r="D150">
        <v>184</v>
      </c>
    </row>
    <row r="151" spans="1:4" x14ac:dyDescent="0.25">
      <c r="A151" s="1">
        <v>44101</v>
      </c>
      <c r="B151">
        <v>216</v>
      </c>
      <c r="C151">
        <v>147</v>
      </c>
      <c r="D151">
        <v>204</v>
      </c>
    </row>
    <row r="152" spans="1:4" x14ac:dyDescent="0.25">
      <c r="A152" s="1">
        <v>44102</v>
      </c>
      <c r="B152">
        <v>282</v>
      </c>
      <c r="C152">
        <v>297</v>
      </c>
      <c r="D152">
        <v>195</v>
      </c>
    </row>
    <row r="153" spans="1:4" x14ac:dyDescent="0.25">
      <c r="A153" s="1">
        <v>44103</v>
      </c>
      <c r="B153">
        <v>214</v>
      </c>
      <c r="C153">
        <v>198</v>
      </c>
      <c r="D153">
        <v>200</v>
      </c>
    </row>
    <row r="154" spans="1:4" x14ac:dyDescent="0.25">
      <c r="A154" s="1">
        <v>44104</v>
      </c>
      <c r="B154">
        <v>289</v>
      </c>
      <c r="C154">
        <v>290</v>
      </c>
      <c r="D154">
        <v>190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0C59-45FF-4D24-93FE-DE01EACC5274}">
  <dimension ref="A3:D19"/>
  <sheetViews>
    <sheetView workbookViewId="0">
      <selection activeCell="F7" sqref="F7"/>
    </sheetView>
  </sheetViews>
  <sheetFormatPr defaultRowHeight="15" x14ac:dyDescent="0.25"/>
  <cols>
    <col min="1" max="1" width="17.7109375" bestFit="1" customWidth="1"/>
    <col min="2" max="2" width="21.42578125" bestFit="1" customWidth="1"/>
    <col min="3" max="3" width="30.28515625" bestFit="1" customWidth="1"/>
    <col min="4" max="4" width="22.42578125" bestFit="1" customWidth="1"/>
  </cols>
  <sheetData>
    <row r="3" spans="1:4" x14ac:dyDescent="0.25">
      <c r="A3" s="8" t="s">
        <v>7</v>
      </c>
      <c r="B3" t="s">
        <v>14</v>
      </c>
      <c r="C3" t="s">
        <v>15</v>
      </c>
      <c r="D3" t="s">
        <v>16</v>
      </c>
    </row>
    <row r="4" spans="1:4" x14ac:dyDescent="0.25">
      <c r="A4" s="9" t="s">
        <v>9</v>
      </c>
      <c r="B4" s="10">
        <v>9238</v>
      </c>
      <c r="C4" s="10">
        <v>9287</v>
      </c>
      <c r="D4" s="10">
        <v>3309</v>
      </c>
    </row>
    <row r="5" spans="1:4" x14ac:dyDescent="0.25">
      <c r="A5" s="9" t="s">
        <v>10</v>
      </c>
      <c r="B5" s="10">
        <v>9485</v>
      </c>
      <c r="C5" s="10">
        <v>8916</v>
      </c>
      <c r="D5" s="10">
        <v>5081</v>
      </c>
    </row>
    <row r="6" spans="1:4" x14ac:dyDescent="0.25">
      <c r="A6" s="9" t="s">
        <v>11</v>
      </c>
      <c r="B6" s="10">
        <v>11592</v>
      </c>
      <c r="C6" s="10">
        <v>11339</v>
      </c>
      <c r="D6" s="10">
        <v>10567</v>
      </c>
    </row>
    <row r="7" spans="1:4" x14ac:dyDescent="0.25">
      <c r="A7" s="9" t="s">
        <v>12</v>
      </c>
      <c r="B7" s="10">
        <v>11045</v>
      </c>
      <c r="C7" s="10">
        <v>11386</v>
      </c>
      <c r="D7" s="10">
        <v>11078</v>
      </c>
    </row>
    <row r="8" spans="1:4" x14ac:dyDescent="0.25">
      <c r="A8" s="9" t="s">
        <v>13</v>
      </c>
      <c r="B8" s="10">
        <v>6532</v>
      </c>
      <c r="C8" s="10">
        <v>7476</v>
      </c>
      <c r="D8" s="10">
        <v>6355</v>
      </c>
    </row>
    <row r="9" spans="1:4" x14ac:dyDescent="0.25">
      <c r="A9" s="9" t="s">
        <v>8</v>
      </c>
      <c r="B9" s="10">
        <v>47892</v>
      </c>
      <c r="C9" s="10">
        <v>48404</v>
      </c>
      <c r="D9" s="10">
        <v>36390</v>
      </c>
    </row>
    <row r="14" spans="1:4" x14ac:dyDescent="0.25">
      <c r="A14" s="11"/>
      <c r="B14" s="11" t="s">
        <v>14</v>
      </c>
      <c r="C14" s="11" t="s">
        <v>15</v>
      </c>
      <c r="D14" s="11" t="s">
        <v>16</v>
      </c>
    </row>
    <row r="15" spans="1:4" x14ac:dyDescent="0.25">
      <c r="A15" s="12" t="s">
        <v>9</v>
      </c>
      <c r="B15" s="13">
        <v>9238</v>
      </c>
      <c r="C15" s="13">
        <v>9287</v>
      </c>
      <c r="D15" s="13">
        <v>3309</v>
      </c>
    </row>
    <row r="16" spans="1:4" x14ac:dyDescent="0.25">
      <c r="A16" s="12" t="s">
        <v>10</v>
      </c>
      <c r="B16" s="13">
        <v>9485</v>
      </c>
      <c r="C16" s="13">
        <v>8916</v>
      </c>
      <c r="D16" s="13">
        <v>5081</v>
      </c>
    </row>
    <row r="17" spans="1:4" x14ac:dyDescent="0.25">
      <c r="A17" s="12" t="s">
        <v>11</v>
      </c>
      <c r="B17" s="13">
        <v>11592</v>
      </c>
      <c r="C17" s="13">
        <v>11339</v>
      </c>
      <c r="D17" s="13">
        <v>10567</v>
      </c>
    </row>
    <row r="18" spans="1:4" x14ac:dyDescent="0.25">
      <c r="A18" s="12" t="s">
        <v>12</v>
      </c>
      <c r="B18" s="13">
        <v>11045</v>
      </c>
      <c r="C18" s="13">
        <v>11386</v>
      </c>
      <c r="D18" s="13">
        <v>11078</v>
      </c>
    </row>
    <row r="19" spans="1:4" x14ac:dyDescent="0.25">
      <c r="A19" s="12" t="s">
        <v>13</v>
      </c>
      <c r="B19" s="13">
        <v>6532</v>
      </c>
      <c r="C19" s="13">
        <v>7476</v>
      </c>
      <c r="D19" s="13">
        <v>6355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3F661-B796-4DD1-8D9A-FD1C3B5E8A50}">
  <dimension ref="A1:E155"/>
  <sheetViews>
    <sheetView workbookViewId="0">
      <selection sqref="A1:D154"/>
    </sheetView>
  </sheetViews>
  <sheetFormatPr defaultRowHeight="15" x14ac:dyDescent="0.25"/>
  <cols>
    <col min="1" max="1" width="10.140625" style="1" bestFit="1" customWidth="1"/>
    <col min="2" max="2" width="15.5703125" customWidth="1"/>
  </cols>
  <sheetData>
    <row r="1" spans="1:5" x14ac:dyDescent="0.25">
      <c r="A1" s="1" t="s">
        <v>4</v>
      </c>
      <c r="B1" t="s">
        <v>1</v>
      </c>
      <c r="C1" t="s">
        <v>5</v>
      </c>
      <c r="D1" t="s">
        <v>6</v>
      </c>
    </row>
    <row r="2" spans="1:5" x14ac:dyDescent="0.25">
      <c r="A2" s="6">
        <v>43952</v>
      </c>
      <c r="B2" s="2">
        <v>211</v>
      </c>
      <c r="C2" s="2">
        <v>281</v>
      </c>
      <c r="D2" s="3">
        <v>88</v>
      </c>
      <c r="E2">
        <f>IF(AND(D2&gt;C2,D2&gt;B2),1,0)</f>
        <v>0</v>
      </c>
    </row>
    <row r="3" spans="1:5" x14ac:dyDescent="0.25">
      <c r="A3" s="7">
        <v>43953</v>
      </c>
      <c r="B3" s="4">
        <v>393</v>
      </c>
      <c r="C3" s="4">
        <v>313</v>
      </c>
      <c r="D3" s="5">
        <v>83</v>
      </c>
      <c r="E3">
        <f t="shared" ref="E3:E66" si="0">IF(AND(D3&gt;C3,D3&gt;B3),1,0)</f>
        <v>0</v>
      </c>
    </row>
    <row r="4" spans="1:5" x14ac:dyDescent="0.25">
      <c r="A4" s="6">
        <v>43954</v>
      </c>
      <c r="B4" s="2">
        <v>389</v>
      </c>
      <c r="C4" s="2">
        <v>315</v>
      </c>
      <c r="D4" s="3">
        <v>104</v>
      </c>
      <c r="E4">
        <f t="shared" si="0"/>
        <v>0</v>
      </c>
    </row>
    <row r="5" spans="1:5" x14ac:dyDescent="0.25">
      <c r="A5" s="7">
        <v>43955</v>
      </c>
      <c r="B5" s="4">
        <v>308</v>
      </c>
      <c r="C5" s="4">
        <v>221</v>
      </c>
      <c r="D5" s="5">
        <v>119</v>
      </c>
      <c r="E5">
        <f t="shared" si="0"/>
        <v>0</v>
      </c>
    </row>
    <row r="6" spans="1:5" x14ac:dyDescent="0.25">
      <c r="A6" s="6">
        <v>43956</v>
      </c>
      <c r="B6" s="2">
        <v>387</v>
      </c>
      <c r="C6" s="2">
        <v>275</v>
      </c>
      <c r="D6" s="3">
        <v>72</v>
      </c>
      <c r="E6">
        <f t="shared" si="0"/>
        <v>0</v>
      </c>
    </row>
    <row r="7" spans="1:5" x14ac:dyDescent="0.25">
      <c r="A7" s="7">
        <v>43957</v>
      </c>
      <c r="B7" s="4">
        <v>294</v>
      </c>
      <c r="C7" s="4">
        <v>366</v>
      </c>
      <c r="D7" s="5">
        <v>99</v>
      </c>
      <c r="E7">
        <f t="shared" si="0"/>
        <v>0</v>
      </c>
    </row>
    <row r="8" spans="1:5" x14ac:dyDescent="0.25">
      <c r="A8" s="6">
        <v>43958</v>
      </c>
      <c r="B8" s="2">
        <v>389</v>
      </c>
      <c r="C8" s="2">
        <v>288</v>
      </c>
      <c r="D8" s="3">
        <v>87</v>
      </c>
      <c r="E8">
        <f t="shared" si="0"/>
        <v>0</v>
      </c>
    </row>
    <row r="9" spans="1:5" x14ac:dyDescent="0.25">
      <c r="A9" s="7">
        <v>43959</v>
      </c>
      <c r="B9" s="4">
        <v>259</v>
      </c>
      <c r="C9" s="4">
        <v>361</v>
      </c>
      <c r="D9" s="5">
        <v>112</v>
      </c>
      <c r="E9">
        <f t="shared" si="0"/>
        <v>0</v>
      </c>
    </row>
    <row r="10" spans="1:5" x14ac:dyDescent="0.25">
      <c r="A10" s="6">
        <v>43960</v>
      </c>
      <c r="B10" s="2">
        <v>369</v>
      </c>
      <c r="C10" s="2">
        <v>233</v>
      </c>
      <c r="D10" s="3">
        <v>110</v>
      </c>
      <c r="E10">
        <f t="shared" si="0"/>
        <v>0</v>
      </c>
    </row>
    <row r="11" spans="1:5" x14ac:dyDescent="0.25">
      <c r="A11" s="7">
        <v>43961</v>
      </c>
      <c r="B11" s="4">
        <v>263</v>
      </c>
      <c r="C11" s="4">
        <v>393</v>
      </c>
      <c r="D11" s="5">
        <v>75</v>
      </c>
      <c r="E11">
        <f t="shared" si="0"/>
        <v>0</v>
      </c>
    </row>
    <row r="12" spans="1:5" x14ac:dyDescent="0.25">
      <c r="A12" s="6">
        <v>43962</v>
      </c>
      <c r="B12" s="2">
        <v>239</v>
      </c>
      <c r="C12" s="2">
        <v>347</v>
      </c>
      <c r="D12" s="3">
        <v>94</v>
      </c>
      <c r="E12">
        <f t="shared" si="0"/>
        <v>0</v>
      </c>
    </row>
    <row r="13" spans="1:5" x14ac:dyDescent="0.25">
      <c r="A13" s="7">
        <v>43963</v>
      </c>
      <c r="B13" s="4">
        <v>282</v>
      </c>
      <c r="C13" s="4">
        <v>338</v>
      </c>
      <c r="D13" s="5">
        <v>86</v>
      </c>
      <c r="E13">
        <f t="shared" si="0"/>
        <v>0</v>
      </c>
    </row>
    <row r="14" spans="1:5" x14ac:dyDescent="0.25">
      <c r="A14" s="6">
        <v>43964</v>
      </c>
      <c r="B14" s="2">
        <v>306</v>
      </c>
      <c r="C14" s="2">
        <v>273</v>
      </c>
      <c r="D14" s="3">
        <v>75</v>
      </c>
      <c r="E14">
        <f t="shared" si="0"/>
        <v>0</v>
      </c>
    </row>
    <row r="15" spans="1:5" x14ac:dyDescent="0.25">
      <c r="A15" s="7">
        <v>43965</v>
      </c>
      <c r="B15" s="4">
        <v>251</v>
      </c>
      <c r="C15" s="4">
        <v>325</v>
      </c>
      <c r="D15" s="5">
        <v>89</v>
      </c>
      <c r="E15">
        <f t="shared" si="0"/>
        <v>0</v>
      </c>
    </row>
    <row r="16" spans="1:5" x14ac:dyDescent="0.25">
      <c r="A16" s="6">
        <v>43966</v>
      </c>
      <c r="B16" s="2">
        <v>224</v>
      </c>
      <c r="C16" s="2">
        <v>352</v>
      </c>
      <c r="D16" s="3">
        <v>97</v>
      </c>
      <c r="E16">
        <f t="shared" si="0"/>
        <v>0</v>
      </c>
    </row>
    <row r="17" spans="1:5" x14ac:dyDescent="0.25">
      <c r="A17" s="7">
        <v>43967</v>
      </c>
      <c r="B17" s="4">
        <v>233</v>
      </c>
      <c r="C17" s="4">
        <v>270</v>
      </c>
      <c r="D17" s="5">
        <v>94</v>
      </c>
      <c r="E17">
        <f t="shared" si="0"/>
        <v>0</v>
      </c>
    </row>
    <row r="18" spans="1:5" x14ac:dyDescent="0.25">
      <c r="A18" s="6">
        <v>43968</v>
      </c>
      <c r="B18" s="2">
        <v>345</v>
      </c>
      <c r="C18" s="2">
        <v>275</v>
      </c>
      <c r="D18" s="3">
        <v>90</v>
      </c>
      <c r="E18">
        <f t="shared" si="0"/>
        <v>0</v>
      </c>
    </row>
    <row r="19" spans="1:5" x14ac:dyDescent="0.25">
      <c r="A19" s="7">
        <v>43969</v>
      </c>
      <c r="B19" s="4">
        <v>232</v>
      </c>
      <c r="C19" s="4">
        <v>228</v>
      </c>
      <c r="D19" s="5">
        <v>107</v>
      </c>
      <c r="E19">
        <f t="shared" si="0"/>
        <v>0</v>
      </c>
    </row>
    <row r="20" spans="1:5" x14ac:dyDescent="0.25">
      <c r="A20" s="6">
        <v>43970</v>
      </c>
      <c r="B20" s="2">
        <v>238</v>
      </c>
      <c r="C20" s="2">
        <v>394</v>
      </c>
      <c r="D20" s="3">
        <v>105</v>
      </c>
      <c r="E20">
        <f t="shared" si="0"/>
        <v>0</v>
      </c>
    </row>
    <row r="21" spans="1:5" x14ac:dyDescent="0.25">
      <c r="A21" s="7">
        <v>43971</v>
      </c>
      <c r="B21" s="4">
        <v>378</v>
      </c>
      <c r="C21" s="4">
        <v>311</v>
      </c>
      <c r="D21" s="5">
        <v>110</v>
      </c>
      <c r="E21">
        <f t="shared" si="0"/>
        <v>0</v>
      </c>
    </row>
    <row r="22" spans="1:5" x14ac:dyDescent="0.25">
      <c r="A22" s="6">
        <v>43972</v>
      </c>
      <c r="B22" s="2">
        <v>281</v>
      </c>
      <c r="C22" s="2">
        <v>354</v>
      </c>
      <c r="D22" s="3">
        <v>121</v>
      </c>
      <c r="E22">
        <f t="shared" si="0"/>
        <v>0</v>
      </c>
    </row>
    <row r="23" spans="1:5" x14ac:dyDescent="0.25">
      <c r="A23" s="7">
        <v>43973</v>
      </c>
      <c r="B23" s="4">
        <v>390</v>
      </c>
      <c r="C23" s="4">
        <v>267</v>
      </c>
      <c r="D23" s="5">
        <v>124</v>
      </c>
      <c r="E23">
        <f t="shared" si="0"/>
        <v>0</v>
      </c>
    </row>
    <row r="24" spans="1:5" x14ac:dyDescent="0.25">
      <c r="A24" s="6">
        <v>43974</v>
      </c>
      <c r="B24" s="2">
        <v>308</v>
      </c>
      <c r="C24" s="2">
        <v>337</v>
      </c>
      <c r="D24" s="3">
        <v>105</v>
      </c>
      <c r="E24">
        <f t="shared" si="0"/>
        <v>0</v>
      </c>
    </row>
    <row r="25" spans="1:5" x14ac:dyDescent="0.25">
      <c r="A25" s="7">
        <v>43975</v>
      </c>
      <c r="B25" s="4">
        <v>391</v>
      </c>
      <c r="C25" s="4">
        <v>238</v>
      </c>
      <c r="D25" s="5">
        <v>113</v>
      </c>
      <c r="E25">
        <f t="shared" si="0"/>
        <v>0</v>
      </c>
    </row>
    <row r="26" spans="1:5" x14ac:dyDescent="0.25">
      <c r="A26" s="6">
        <v>43976</v>
      </c>
      <c r="B26" s="2">
        <v>241</v>
      </c>
      <c r="C26" s="2">
        <v>283</v>
      </c>
      <c r="D26" s="3">
        <v>140</v>
      </c>
      <c r="E26">
        <f t="shared" si="0"/>
        <v>0</v>
      </c>
    </row>
    <row r="27" spans="1:5" x14ac:dyDescent="0.25">
      <c r="A27" s="7">
        <v>43977</v>
      </c>
      <c r="B27" s="4">
        <v>249</v>
      </c>
      <c r="C27" s="4">
        <v>275</v>
      </c>
      <c r="D27" s="5">
        <v>118</v>
      </c>
      <c r="E27">
        <f t="shared" si="0"/>
        <v>0</v>
      </c>
    </row>
    <row r="28" spans="1:5" x14ac:dyDescent="0.25">
      <c r="A28" s="6">
        <v>43978</v>
      </c>
      <c r="B28" s="2">
        <v>298</v>
      </c>
      <c r="C28" s="2">
        <v>263</v>
      </c>
      <c r="D28" s="3">
        <v>145</v>
      </c>
      <c r="E28">
        <f t="shared" si="0"/>
        <v>0</v>
      </c>
    </row>
    <row r="29" spans="1:5" x14ac:dyDescent="0.25">
      <c r="A29" s="7">
        <v>43979</v>
      </c>
      <c r="B29" s="4">
        <v>254</v>
      </c>
      <c r="C29" s="4">
        <v>241</v>
      </c>
      <c r="D29" s="5">
        <v>149</v>
      </c>
      <c r="E29">
        <f t="shared" si="0"/>
        <v>0</v>
      </c>
    </row>
    <row r="30" spans="1:5" x14ac:dyDescent="0.25">
      <c r="A30" s="6">
        <v>43980</v>
      </c>
      <c r="B30" s="2">
        <v>329</v>
      </c>
      <c r="C30" s="2">
        <v>323</v>
      </c>
      <c r="D30" s="3">
        <v>134</v>
      </c>
      <c r="E30">
        <f t="shared" si="0"/>
        <v>0</v>
      </c>
    </row>
    <row r="31" spans="1:5" x14ac:dyDescent="0.25">
      <c r="A31" s="7">
        <v>43981</v>
      </c>
      <c r="B31" s="4">
        <v>213</v>
      </c>
      <c r="C31" s="4">
        <v>221</v>
      </c>
      <c r="D31" s="5">
        <v>119</v>
      </c>
      <c r="E31">
        <f t="shared" si="0"/>
        <v>0</v>
      </c>
    </row>
    <row r="32" spans="1:5" x14ac:dyDescent="0.25">
      <c r="A32" s="6">
        <v>43982</v>
      </c>
      <c r="B32" s="2">
        <v>294</v>
      </c>
      <c r="C32" s="2">
        <v>326</v>
      </c>
      <c r="D32" s="3">
        <v>145</v>
      </c>
      <c r="E32">
        <f t="shared" si="0"/>
        <v>0</v>
      </c>
    </row>
    <row r="33" spans="1:5" x14ac:dyDescent="0.25">
      <c r="A33" s="7">
        <v>43983</v>
      </c>
      <c r="B33" s="4">
        <v>225</v>
      </c>
      <c r="C33" s="4">
        <v>206</v>
      </c>
      <c r="D33" s="5">
        <v>122</v>
      </c>
      <c r="E33">
        <f t="shared" si="0"/>
        <v>0</v>
      </c>
    </row>
    <row r="34" spans="1:5" x14ac:dyDescent="0.25">
      <c r="A34" s="6">
        <v>43984</v>
      </c>
      <c r="B34" s="2">
        <v>264</v>
      </c>
      <c r="C34" s="2">
        <v>355</v>
      </c>
      <c r="D34" s="3">
        <v>134</v>
      </c>
      <c r="E34">
        <f t="shared" si="0"/>
        <v>0</v>
      </c>
    </row>
    <row r="35" spans="1:5" x14ac:dyDescent="0.25">
      <c r="A35" s="7">
        <v>43985</v>
      </c>
      <c r="B35" s="4">
        <v>253</v>
      </c>
      <c r="C35" s="4">
        <v>271</v>
      </c>
      <c r="D35" s="5">
        <v>142</v>
      </c>
      <c r="E35">
        <f t="shared" si="0"/>
        <v>0</v>
      </c>
    </row>
    <row r="36" spans="1:5" x14ac:dyDescent="0.25">
      <c r="A36" s="6">
        <v>43986</v>
      </c>
      <c r="B36" s="2">
        <v>352</v>
      </c>
      <c r="C36" s="2">
        <v>207</v>
      </c>
      <c r="D36" s="3">
        <v>125</v>
      </c>
      <c r="E36">
        <f t="shared" si="0"/>
        <v>0</v>
      </c>
    </row>
    <row r="37" spans="1:5" x14ac:dyDescent="0.25">
      <c r="A37" s="7">
        <v>43987</v>
      </c>
      <c r="B37" s="4">
        <v>269</v>
      </c>
      <c r="C37" s="4">
        <v>248</v>
      </c>
      <c r="D37" s="5">
        <v>137</v>
      </c>
      <c r="E37">
        <f t="shared" si="0"/>
        <v>0</v>
      </c>
    </row>
    <row r="38" spans="1:5" x14ac:dyDescent="0.25">
      <c r="A38" s="6">
        <v>43988</v>
      </c>
      <c r="B38" s="2">
        <v>242</v>
      </c>
      <c r="C38" s="2">
        <v>247</v>
      </c>
      <c r="D38" s="3">
        <v>125</v>
      </c>
      <c r="E38">
        <f t="shared" si="0"/>
        <v>0</v>
      </c>
    </row>
    <row r="39" spans="1:5" x14ac:dyDescent="0.25">
      <c r="A39" s="7">
        <v>43989</v>
      </c>
      <c r="B39" s="4">
        <v>327</v>
      </c>
      <c r="C39" s="4">
        <v>262</v>
      </c>
      <c r="D39" s="5">
        <v>103</v>
      </c>
      <c r="E39">
        <f t="shared" si="0"/>
        <v>0</v>
      </c>
    </row>
    <row r="40" spans="1:5" x14ac:dyDescent="0.25">
      <c r="A40" s="6">
        <v>43990</v>
      </c>
      <c r="B40" s="2">
        <v>316</v>
      </c>
      <c r="C40" s="2">
        <v>253</v>
      </c>
      <c r="D40" s="3">
        <v>134</v>
      </c>
      <c r="E40">
        <f t="shared" si="0"/>
        <v>0</v>
      </c>
    </row>
    <row r="41" spans="1:5" x14ac:dyDescent="0.25">
      <c r="A41" s="7">
        <v>43991</v>
      </c>
      <c r="B41" s="4">
        <v>294</v>
      </c>
      <c r="C41" s="4">
        <v>249</v>
      </c>
      <c r="D41" s="5">
        <v>137</v>
      </c>
      <c r="E41">
        <f t="shared" si="0"/>
        <v>0</v>
      </c>
    </row>
    <row r="42" spans="1:5" x14ac:dyDescent="0.25">
      <c r="A42" s="6">
        <v>43992</v>
      </c>
      <c r="B42" s="2">
        <v>270</v>
      </c>
      <c r="C42" s="2">
        <v>206</v>
      </c>
      <c r="D42" s="3">
        <v>146</v>
      </c>
      <c r="E42">
        <f t="shared" si="0"/>
        <v>0</v>
      </c>
    </row>
    <row r="43" spans="1:5" x14ac:dyDescent="0.25">
      <c r="A43" s="7">
        <v>43993</v>
      </c>
      <c r="B43" s="4">
        <v>349</v>
      </c>
      <c r="C43" s="4">
        <v>301</v>
      </c>
      <c r="D43" s="5">
        <v>138</v>
      </c>
      <c r="E43">
        <f t="shared" si="0"/>
        <v>0</v>
      </c>
    </row>
    <row r="44" spans="1:5" x14ac:dyDescent="0.25">
      <c r="A44" s="6">
        <v>43994</v>
      </c>
      <c r="B44" s="2">
        <v>224</v>
      </c>
      <c r="C44" s="2">
        <v>385</v>
      </c>
      <c r="D44" s="3">
        <v>138</v>
      </c>
      <c r="E44">
        <f t="shared" si="0"/>
        <v>0</v>
      </c>
    </row>
    <row r="45" spans="1:5" x14ac:dyDescent="0.25">
      <c r="A45" s="7">
        <v>43995</v>
      </c>
      <c r="B45" s="4">
        <v>309</v>
      </c>
      <c r="C45" s="4">
        <v>204</v>
      </c>
      <c r="D45" s="5">
        <v>140</v>
      </c>
      <c r="E45">
        <f t="shared" si="0"/>
        <v>0</v>
      </c>
    </row>
    <row r="46" spans="1:5" x14ac:dyDescent="0.25">
      <c r="A46" s="6">
        <v>43996</v>
      </c>
      <c r="B46" s="2">
        <v>246</v>
      </c>
      <c r="C46" s="2">
        <v>275</v>
      </c>
      <c r="D46" s="3">
        <v>130</v>
      </c>
      <c r="E46">
        <f t="shared" si="0"/>
        <v>0</v>
      </c>
    </row>
    <row r="47" spans="1:5" x14ac:dyDescent="0.25">
      <c r="A47" s="7">
        <v>43997</v>
      </c>
      <c r="B47" s="4">
        <v>241</v>
      </c>
      <c r="C47" s="4">
        <v>247</v>
      </c>
      <c r="D47" s="5">
        <v>166</v>
      </c>
      <c r="E47">
        <f t="shared" si="0"/>
        <v>0</v>
      </c>
    </row>
    <row r="48" spans="1:5" x14ac:dyDescent="0.25">
      <c r="A48" s="6">
        <v>43998</v>
      </c>
      <c r="B48" s="2">
        <v>365</v>
      </c>
      <c r="C48" s="2">
        <v>256</v>
      </c>
      <c r="D48" s="3">
        <v>132</v>
      </c>
      <c r="E48">
        <f t="shared" si="0"/>
        <v>0</v>
      </c>
    </row>
    <row r="49" spans="1:5" x14ac:dyDescent="0.25">
      <c r="A49" s="7">
        <v>43999</v>
      </c>
      <c r="B49" s="4">
        <v>225</v>
      </c>
      <c r="C49" s="4">
        <v>392</v>
      </c>
      <c r="D49" s="5">
        <v>158</v>
      </c>
      <c r="E49">
        <f t="shared" si="0"/>
        <v>0</v>
      </c>
    </row>
    <row r="50" spans="1:5" x14ac:dyDescent="0.25">
      <c r="A50" s="6">
        <v>44000</v>
      </c>
      <c r="B50" s="2">
        <v>335</v>
      </c>
      <c r="C50" s="2">
        <v>254</v>
      </c>
      <c r="D50" s="3">
        <v>173</v>
      </c>
      <c r="E50">
        <f t="shared" si="0"/>
        <v>0</v>
      </c>
    </row>
    <row r="51" spans="1:5" x14ac:dyDescent="0.25">
      <c r="A51" s="7">
        <v>44001</v>
      </c>
      <c r="B51" s="4">
        <v>376</v>
      </c>
      <c r="C51" s="4">
        <v>258</v>
      </c>
      <c r="D51" s="5">
        <v>151</v>
      </c>
      <c r="E51">
        <f t="shared" si="0"/>
        <v>0</v>
      </c>
    </row>
    <row r="52" spans="1:5" x14ac:dyDescent="0.25">
      <c r="A52" s="6">
        <v>44002</v>
      </c>
      <c r="B52" s="2">
        <v>310</v>
      </c>
      <c r="C52" s="2">
        <v>248</v>
      </c>
      <c r="D52" s="3">
        <v>173</v>
      </c>
      <c r="E52">
        <f t="shared" si="0"/>
        <v>0</v>
      </c>
    </row>
    <row r="53" spans="1:5" x14ac:dyDescent="0.25">
      <c r="A53" s="7">
        <v>44003</v>
      </c>
      <c r="B53" s="4">
        <v>408</v>
      </c>
      <c r="C53" s="4">
        <v>250</v>
      </c>
      <c r="D53" s="5">
        <v>242</v>
      </c>
      <c r="E53">
        <f t="shared" si="0"/>
        <v>0</v>
      </c>
    </row>
    <row r="54" spans="1:5" x14ac:dyDescent="0.25">
      <c r="A54" s="6">
        <v>44004</v>
      </c>
      <c r="B54" s="2">
        <v>256</v>
      </c>
      <c r="C54" s="2">
        <v>393</v>
      </c>
      <c r="D54" s="3">
        <v>219</v>
      </c>
      <c r="E54">
        <f t="shared" si="0"/>
        <v>0</v>
      </c>
    </row>
    <row r="55" spans="1:5" x14ac:dyDescent="0.25">
      <c r="A55" s="7">
        <v>44005</v>
      </c>
      <c r="B55" s="4">
        <v>322</v>
      </c>
      <c r="C55" s="4">
        <v>425</v>
      </c>
      <c r="D55" s="5">
        <v>215</v>
      </c>
      <c r="E55">
        <f t="shared" si="0"/>
        <v>0</v>
      </c>
    </row>
    <row r="56" spans="1:5" x14ac:dyDescent="0.25">
      <c r="A56" s="6">
        <v>44006</v>
      </c>
      <c r="B56" s="2">
        <v>447</v>
      </c>
      <c r="C56" s="2">
        <v>385</v>
      </c>
      <c r="D56" s="3">
        <v>212</v>
      </c>
      <c r="E56">
        <f t="shared" si="0"/>
        <v>0</v>
      </c>
    </row>
    <row r="57" spans="1:5" x14ac:dyDescent="0.25">
      <c r="A57" s="7">
        <v>44007</v>
      </c>
      <c r="B57" s="4">
        <v>408</v>
      </c>
      <c r="C57" s="4">
        <v>260</v>
      </c>
      <c r="D57" s="5">
        <v>225</v>
      </c>
      <c r="E57">
        <f t="shared" si="0"/>
        <v>0</v>
      </c>
    </row>
    <row r="58" spans="1:5" x14ac:dyDescent="0.25">
      <c r="A58" s="6">
        <v>44008</v>
      </c>
      <c r="B58" s="2">
        <v>283</v>
      </c>
      <c r="C58" s="2">
        <v>396</v>
      </c>
      <c r="D58" s="3">
        <v>221</v>
      </c>
      <c r="E58">
        <f t="shared" si="0"/>
        <v>0</v>
      </c>
    </row>
    <row r="59" spans="1:5" x14ac:dyDescent="0.25">
      <c r="A59" s="7">
        <v>44009</v>
      </c>
      <c r="B59" s="4">
        <v>414</v>
      </c>
      <c r="C59" s="4">
        <v>314</v>
      </c>
      <c r="D59" s="5">
        <v>220</v>
      </c>
      <c r="E59">
        <f t="shared" si="0"/>
        <v>0</v>
      </c>
    </row>
    <row r="60" spans="1:5" x14ac:dyDescent="0.25">
      <c r="A60" s="6">
        <v>44010</v>
      </c>
      <c r="B60" s="2">
        <v>442</v>
      </c>
      <c r="C60" s="2">
        <v>449</v>
      </c>
      <c r="D60" s="3">
        <v>245</v>
      </c>
      <c r="E60">
        <f t="shared" si="0"/>
        <v>0</v>
      </c>
    </row>
    <row r="61" spans="1:5" x14ac:dyDescent="0.25">
      <c r="A61" s="7">
        <v>44011</v>
      </c>
      <c r="B61" s="4">
        <v>269</v>
      </c>
      <c r="C61" s="4">
        <v>370</v>
      </c>
      <c r="D61" s="5">
        <v>242</v>
      </c>
      <c r="E61">
        <f t="shared" si="0"/>
        <v>0</v>
      </c>
    </row>
    <row r="62" spans="1:5" x14ac:dyDescent="0.25">
      <c r="A62" s="6">
        <v>44012</v>
      </c>
      <c r="B62" s="2">
        <v>444</v>
      </c>
      <c r="C62" s="2">
        <v>350</v>
      </c>
      <c r="D62" s="3">
        <v>236</v>
      </c>
      <c r="E62">
        <f t="shared" si="0"/>
        <v>0</v>
      </c>
    </row>
    <row r="63" spans="1:5" x14ac:dyDescent="0.25">
      <c r="A63" s="7">
        <v>44013</v>
      </c>
      <c r="B63" s="4">
        <v>425</v>
      </c>
      <c r="C63" s="4">
        <v>342</v>
      </c>
      <c r="D63" s="5">
        <v>237</v>
      </c>
      <c r="E63">
        <f t="shared" si="0"/>
        <v>0</v>
      </c>
    </row>
    <row r="64" spans="1:5" x14ac:dyDescent="0.25">
      <c r="A64" s="6">
        <v>44014</v>
      </c>
      <c r="B64" s="2">
        <v>377</v>
      </c>
      <c r="C64" s="2">
        <v>290</v>
      </c>
      <c r="D64" s="3">
        <v>240</v>
      </c>
      <c r="E64">
        <f t="shared" si="0"/>
        <v>0</v>
      </c>
    </row>
    <row r="65" spans="1:5" x14ac:dyDescent="0.25">
      <c r="A65" s="7">
        <v>44015</v>
      </c>
      <c r="B65" s="4">
        <v>382</v>
      </c>
      <c r="C65" s="4">
        <v>360</v>
      </c>
      <c r="D65" s="5">
        <v>203</v>
      </c>
      <c r="E65">
        <f t="shared" si="0"/>
        <v>0</v>
      </c>
    </row>
    <row r="66" spans="1:5" x14ac:dyDescent="0.25">
      <c r="A66" s="6">
        <v>44016</v>
      </c>
      <c r="B66" s="2">
        <v>287</v>
      </c>
      <c r="C66" s="2">
        <v>428</v>
      </c>
      <c r="D66" s="3">
        <v>204</v>
      </c>
      <c r="E66">
        <f t="shared" si="0"/>
        <v>0</v>
      </c>
    </row>
    <row r="67" spans="1:5" x14ac:dyDescent="0.25">
      <c r="A67" s="7">
        <v>44017</v>
      </c>
      <c r="B67" s="4">
        <v>429</v>
      </c>
      <c r="C67" s="4">
        <v>394</v>
      </c>
      <c r="D67" s="5">
        <v>246</v>
      </c>
      <c r="E67">
        <f t="shared" ref="E67:E130" si="1">IF(AND(D67&gt;C67,D67&gt;B67),1,0)</f>
        <v>0</v>
      </c>
    </row>
    <row r="68" spans="1:5" x14ac:dyDescent="0.25">
      <c r="A68" s="6">
        <v>44018</v>
      </c>
      <c r="B68" s="2">
        <v>287</v>
      </c>
      <c r="C68" s="2">
        <v>356</v>
      </c>
      <c r="D68" s="3">
        <v>233</v>
      </c>
      <c r="E68">
        <f t="shared" si="1"/>
        <v>0</v>
      </c>
    </row>
    <row r="69" spans="1:5" x14ac:dyDescent="0.25">
      <c r="A69" s="7">
        <v>44019</v>
      </c>
      <c r="B69" s="4">
        <v>421</v>
      </c>
      <c r="C69" s="4">
        <v>292</v>
      </c>
      <c r="D69" s="5">
        <v>226</v>
      </c>
      <c r="E69">
        <f t="shared" si="1"/>
        <v>0</v>
      </c>
    </row>
    <row r="70" spans="1:5" x14ac:dyDescent="0.25">
      <c r="A70" s="6">
        <v>44020</v>
      </c>
      <c r="B70" s="2">
        <v>334</v>
      </c>
      <c r="C70" s="2">
        <v>353</v>
      </c>
      <c r="D70" s="3">
        <v>282</v>
      </c>
      <c r="E70">
        <f t="shared" si="1"/>
        <v>0</v>
      </c>
    </row>
    <row r="71" spans="1:5" x14ac:dyDescent="0.25">
      <c r="A71" s="7">
        <v>44021</v>
      </c>
      <c r="B71" s="4">
        <v>282</v>
      </c>
      <c r="C71" s="4">
        <v>329</v>
      </c>
      <c r="D71" s="5">
        <v>262</v>
      </c>
      <c r="E71">
        <f t="shared" si="1"/>
        <v>0</v>
      </c>
    </row>
    <row r="72" spans="1:5" x14ac:dyDescent="0.25">
      <c r="A72" s="6">
        <v>44022</v>
      </c>
      <c r="B72" s="2">
        <v>356</v>
      </c>
      <c r="C72" s="2">
        <v>331</v>
      </c>
      <c r="D72" s="3">
        <v>290</v>
      </c>
      <c r="E72">
        <f t="shared" si="1"/>
        <v>0</v>
      </c>
    </row>
    <row r="73" spans="1:5" x14ac:dyDescent="0.25">
      <c r="A73" s="7">
        <v>44023</v>
      </c>
      <c r="B73" s="4">
        <v>307</v>
      </c>
      <c r="C73" s="4">
        <v>394</v>
      </c>
      <c r="D73" s="5">
        <v>256</v>
      </c>
      <c r="E73">
        <f t="shared" si="1"/>
        <v>0</v>
      </c>
    </row>
    <row r="74" spans="1:5" x14ac:dyDescent="0.25">
      <c r="A74" s="6">
        <v>44024</v>
      </c>
      <c r="B74" s="2">
        <v>441</v>
      </c>
      <c r="C74" s="2">
        <v>271</v>
      </c>
      <c r="D74" s="3">
        <v>292</v>
      </c>
      <c r="E74">
        <f t="shared" si="1"/>
        <v>0</v>
      </c>
    </row>
    <row r="75" spans="1:5" x14ac:dyDescent="0.25">
      <c r="A75" s="7">
        <v>44025</v>
      </c>
      <c r="B75" s="4">
        <v>407</v>
      </c>
      <c r="C75" s="4">
        <v>311</v>
      </c>
      <c r="D75" s="5">
        <v>280</v>
      </c>
      <c r="E75">
        <f t="shared" si="1"/>
        <v>0</v>
      </c>
    </row>
    <row r="76" spans="1:5" x14ac:dyDescent="0.25">
      <c r="A76" s="6">
        <v>44026</v>
      </c>
      <c r="B76" s="2">
        <v>480</v>
      </c>
      <c r="C76" s="2">
        <v>342</v>
      </c>
      <c r="D76" s="3">
        <v>292</v>
      </c>
      <c r="E76">
        <f t="shared" si="1"/>
        <v>0</v>
      </c>
    </row>
    <row r="77" spans="1:5" x14ac:dyDescent="0.25">
      <c r="A77" s="7">
        <v>44027</v>
      </c>
      <c r="B77" s="4">
        <v>494</v>
      </c>
      <c r="C77" s="4">
        <v>310</v>
      </c>
      <c r="D77" s="5">
        <v>275</v>
      </c>
      <c r="E77">
        <f t="shared" si="1"/>
        <v>0</v>
      </c>
    </row>
    <row r="78" spans="1:5" x14ac:dyDescent="0.25">
      <c r="A78" s="6">
        <v>44028</v>
      </c>
      <c r="B78" s="2">
        <v>493</v>
      </c>
      <c r="C78" s="2">
        <v>431</v>
      </c>
      <c r="D78" s="3">
        <v>283</v>
      </c>
      <c r="E78">
        <f t="shared" si="1"/>
        <v>0</v>
      </c>
    </row>
    <row r="79" spans="1:5" x14ac:dyDescent="0.25">
      <c r="A79" s="7">
        <v>44029</v>
      </c>
      <c r="B79" s="4">
        <v>302</v>
      </c>
      <c r="C79" s="4">
        <v>415</v>
      </c>
      <c r="D79" s="5">
        <v>297</v>
      </c>
      <c r="E79">
        <f t="shared" si="1"/>
        <v>0</v>
      </c>
    </row>
    <row r="80" spans="1:5" x14ac:dyDescent="0.25">
      <c r="A80" s="6">
        <v>44030</v>
      </c>
      <c r="B80" s="2">
        <v>331</v>
      </c>
      <c r="C80" s="2">
        <v>353</v>
      </c>
      <c r="D80" s="3">
        <v>373</v>
      </c>
      <c r="E80">
        <f t="shared" si="1"/>
        <v>1</v>
      </c>
    </row>
    <row r="81" spans="1:5" x14ac:dyDescent="0.25">
      <c r="A81" s="7">
        <v>44031</v>
      </c>
      <c r="B81" s="4">
        <v>486</v>
      </c>
      <c r="C81" s="4">
        <v>323</v>
      </c>
      <c r="D81" s="5">
        <v>359</v>
      </c>
      <c r="E81">
        <f t="shared" si="1"/>
        <v>0</v>
      </c>
    </row>
    <row r="82" spans="1:5" x14ac:dyDescent="0.25">
      <c r="A82" s="6">
        <v>44032</v>
      </c>
      <c r="B82" s="2">
        <v>360</v>
      </c>
      <c r="C82" s="2">
        <v>331</v>
      </c>
      <c r="D82" s="3">
        <v>445</v>
      </c>
      <c r="E82">
        <f t="shared" si="1"/>
        <v>1</v>
      </c>
    </row>
    <row r="83" spans="1:5" x14ac:dyDescent="0.25">
      <c r="A83" s="7">
        <v>44033</v>
      </c>
      <c r="B83" s="4">
        <v>391</v>
      </c>
      <c r="C83" s="4">
        <v>455</v>
      </c>
      <c r="D83" s="5">
        <v>427</v>
      </c>
      <c r="E83">
        <f t="shared" si="1"/>
        <v>0</v>
      </c>
    </row>
    <row r="84" spans="1:5" x14ac:dyDescent="0.25">
      <c r="A84" s="6">
        <v>44034</v>
      </c>
      <c r="B84" s="2">
        <v>327</v>
      </c>
      <c r="C84" s="2">
        <v>471</v>
      </c>
      <c r="D84" s="3">
        <v>423</v>
      </c>
      <c r="E84">
        <f t="shared" si="1"/>
        <v>0</v>
      </c>
    </row>
    <row r="85" spans="1:5" x14ac:dyDescent="0.25">
      <c r="A85" s="7">
        <v>44035</v>
      </c>
      <c r="B85" s="4">
        <v>355</v>
      </c>
      <c r="C85" s="4">
        <v>490</v>
      </c>
      <c r="D85" s="5">
        <v>449</v>
      </c>
      <c r="E85">
        <f t="shared" si="1"/>
        <v>0</v>
      </c>
    </row>
    <row r="86" spans="1:5" x14ac:dyDescent="0.25">
      <c r="A86" s="6">
        <v>44036</v>
      </c>
      <c r="B86" s="2">
        <v>360</v>
      </c>
      <c r="C86" s="2">
        <v>339</v>
      </c>
      <c r="D86" s="3">
        <v>470</v>
      </c>
      <c r="E86">
        <f t="shared" si="1"/>
        <v>1</v>
      </c>
    </row>
    <row r="87" spans="1:5" x14ac:dyDescent="0.25">
      <c r="A87" s="7">
        <v>44037</v>
      </c>
      <c r="B87" s="4">
        <v>303</v>
      </c>
      <c r="C87" s="4">
        <v>404</v>
      </c>
      <c r="D87" s="5">
        <v>434</v>
      </c>
      <c r="E87">
        <f t="shared" si="1"/>
        <v>1</v>
      </c>
    </row>
    <row r="88" spans="1:5" x14ac:dyDescent="0.25">
      <c r="A88" s="6">
        <v>44038</v>
      </c>
      <c r="B88" s="2">
        <v>310</v>
      </c>
      <c r="C88" s="2">
        <v>332</v>
      </c>
      <c r="D88" s="3">
        <v>536</v>
      </c>
      <c r="E88">
        <f t="shared" si="1"/>
        <v>1</v>
      </c>
    </row>
    <row r="89" spans="1:5" x14ac:dyDescent="0.25">
      <c r="A89" s="7">
        <v>44039</v>
      </c>
      <c r="B89" s="4">
        <v>435</v>
      </c>
      <c r="C89" s="4">
        <v>406</v>
      </c>
      <c r="D89" s="5">
        <v>421</v>
      </c>
      <c r="E89">
        <f t="shared" si="1"/>
        <v>0</v>
      </c>
    </row>
    <row r="90" spans="1:5" x14ac:dyDescent="0.25">
      <c r="A90" s="6">
        <v>44040</v>
      </c>
      <c r="B90" s="2">
        <v>344</v>
      </c>
      <c r="C90" s="2">
        <v>348</v>
      </c>
      <c r="D90" s="3">
        <v>555</v>
      </c>
      <c r="E90">
        <f t="shared" si="1"/>
        <v>1</v>
      </c>
    </row>
    <row r="91" spans="1:5" x14ac:dyDescent="0.25">
      <c r="A91" s="7">
        <v>44041</v>
      </c>
      <c r="B91" s="4">
        <v>303</v>
      </c>
      <c r="C91" s="4">
        <v>335</v>
      </c>
      <c r="D91" s="5">
        <v>436</v>
      </c>
      <c r="E91">
        <f t="shared" si="1"/>
        <v>1</v>
      </c>
    </row>
    <row r="92" spans="1:5" x14ac:dyDescent="0.25">
      <c r="A92" s="6">
        <v>44042</v>
      </c>
      <c r="B92" s="2">
        <v>433</v>
      </c>
      <c r="C92" s="2">
        <v>425</v>
      </c>
      <c r="D92" s="3">
        <v>422</v>
      </c>
      <c r="E92">
        <f t="shared" si="1"/>
        <v>0</v>
      </c>
    </row>
    <row r="93" spans="1:5" x14ac:dyDescent="0.25">
      <c r="A93" s="7">
        <v>44043</v>
      </c>
      <c r="B93" s="4">
        <v>350</v>
      </c>
      <c r="C93" s="4">
        <v>378</v>
      </c>
      <c r="D93" s="5">
        <v>419</v>
      </c>
      <c r="E93">
        <f t="shared" si="1"/>
        <v>1</v>
      </c>
    </row>
    <row r="94" spans="1:5" x14ac:dyDescent="0.25">
      <c r="A94" s="6">
        <v>44044</v>
      </c>
      <c r="B94" s="2">
        <v>396</v>
      </c>
      <c r="C94" s="2">
        <v>466</v>
      </c>
      <c r="D94" s="3">
        <v>434</v>
      </c>
      <c r="E94">
        <f t="shared" si="1"/>
        <v>0</v>
      </c>
    </row>
    <row r="95" spans="1:5" x14ac:dyDescent="0.25">
      <c r="A95" s="7">
        <v>44045</v>
      </c>
      <c r="B95" s="4">
        <v>495</v>
      </c>
      <c r="C95" s="4">
        <v>410</v>
      </c>
      <c r="D95" s="5">
        <v>418</v>
      </c>
      <c r="E95">
        <f t="shared" si="1"/>
        <v>0</v>
      </c>
    </row>
    <row r="96" spans="1:5" x14ac:dyDescent="0.25">
      <c r="A96" s="6">
        <v>44046</v>
      </c>
      <c r="B96" s="2">
        <v>420</v>
      </c>
      <c r="C96" s="2">
        <v>328</v>
      </c>
      <c r="D96" s="3">
        <v>422</v>
      </c>
      <c r="E96">
        <f t="shared" si="1"/>
        <v>1</v>
      </c>
    </row>
    <row r="97" spans="1:5" x14ac:dyDescent="0.25">
      <c r="A97" s="7">
        <v>44047</v>
      </c>
      <c r="B97" s="4">
        <v>411</v>
      </c>
      <c r="C97" s="4">
        <v>481</v>
      </c>
      <c r="D97" s="5">
        <v>445</v>
      </c>
      <c r="E97">
        <f t="shared" si="1"/>
        <v>0</v>
      </c>
    </row>
    <row r="98" spans="1:5" x14ac:dyDescent="0.25">
      <c r="A98" s="6">
        <v>44048</v>
      </c>
      <c r="B98" s="2">
        <v>317</v>
      </c>
      <c r="C98" s="2">
        <v>434</v>
      </c>
      <c r="D98" s="3">
        <v>411</v>
      </c>
      <c r="E98">
        <f t="shared" si="1"/>
        <v>0</v>
      </c>
    </row>
    <row r="99" spans="1:5" x14ac:dyDescent="0.25">
      <c r="A99" s="7">
        <v>44049</v>
      </c>
      <c r="B99" s="4">
        <v>342</v>
      </c>
      <c r="C99" s="4">
        <v>465</v>
      </c>
      <c r="D99" s="5">
        <v>417</v>
      </c>
      <c r="E99">
        <f t="shared" si="1"/>
        <v>0</v>
      </c>
    </row>
    <row r="100" spans="1:5" x14ac:dyDescent="0.25">
      <c r="A100" s="6">
        <v>44050</v>
      </c>
      <c r="B100" s="2">
        <v>450</v>
      </c>
      <c r="C100" s="2">
        <v>318</v>
      </c>
      <c r="D100" s="3">
        <v>490</v>
      </c>
      <c r="E100">
        <f t="shared" si="1"/>
        <v>1</v>
      </c>
    </row>
    <row r="101" spans="1:5" x14ac:dyDescent="0.25">
      <c r="A101" s="7">
        <v>44051</v>
      </c>
      <c r="B101" s="4">
        <v>343</v>
      </c>
      <c r="C101" s="4">
        <v>329</v>
      </c>
      <c r="D101" s="5">
        <v>345</v>
      </c>
      <c r="E101">
        <f t="shared" si="1"/>
        <v>1</v>
      </c>
    </row>
    <row r="102" spans="1:5" x14ac:dyDescent="0.25">
      <c r="A102" s="6">
        <v>44052</v>
      </c>
      <c r="B102" s="2">
        <v>287</v>
      </c>
      <c r="C102" s="2">
        <v>328</v>
      </c>
      <c r="D102" s="3">
        <v>377</v>
      </c>
      <c r="E102">
        <f t="shared" si="1"/>
        <v>1</v>
      </c>
    </row>
    <row r="103" spans="1:5" x14ac:dyDescent="0.25">
      <c r="A103" s="7">
        <v>44053</v>
      </c>
      <c r="B103" s="4">
        <v>298</v>
      </c>
      <c r="C103" s="4">
        <v>401</v>
      </c>
      <c r="D103" s="5">
        <v>416</v>
      </c>
      <c r="E103">
        <f t="shared" si="1"/>
        <v>1</v>
      </c>
    </row>
    <row r="104" spans="1:5" x14ac:dyDescent="0.25">
      <c r="A104" s="6">
        <v>44054</v>
      </c>
      <c r="B104" s="2">
        <v>429</v>
      </c>
      <c r="C104" s="2">
        <v>348</v>
      </c>
      <c r="D104" s="3">
        <v>426</v>
      </c>
      <c r="E104">
        <f t="shared" si="1"/>
        <v>0</v>
      </c>
    </row>
    <row r="105" spans="1:5" x14ac:dyDescent="0.25">
      <c r="A105" s="7">
        <v>44055</v>
      </c>
      <c r="B105" s="4">
        <v>417</v>
      </c>
      <c r="C105" s="4">
        <v>457</v>
      </c>
      <c r="D105" s="5">
        <v>438</v>
      </c>
      <c r="E105">
        <f t="shared" si="1"/>
        <v>0</v>
      </c>
    </row>
    <row r="106" spans="1:5" x14ac:dyDescent="0.25">
      <c r="A106" s="6">
        <v>44056</v>
      </c>
      <c r="B106" s="2">
        <v>384</v>
      </c>
      <c r="C106" s="2">
        <v>330</v>
      </c>
      <c r="D106" s="3">
        <v>292</v>
      </c>
      <c r="E106">
        <f t="shared" si="1"/>
        <v>0</v>
      </c>
    </row>
    <row r="107" spans="1:5" x14ac:dyDescent="0.25">
      <c r="A107" s="7">
        <v>44057</v>
      </c>
      <c r="B107" s="4">
        <v>370</v>
      </c>
      <c r="C107" s="4">
        <v>388</v>
      </c>
      <c r="D107" s="5">
        <v>390</v>
      </c>
      <c r="E107">
        <f t="shared" si="1"/>
        <v>1</v>
      </c>
    </row>
    <row r="108" spans="1:5" x14ac:dyDescent="0.25">
      <c r="A108" s="6">
        <v>44058</v>
      </c>
      <c r="B108" s="2">
        <v>436</v>
      </c>
      <c r="C108" s="2">
        <v>298</v>
      </c>
      <c r="D108" s="3">
        <v>420</v>
      </c>
      <c r="E108">
        <f t="shared" si="1"/>
        <v>0</v>
      </c>
    </row>
    <row r="109" spans="1:5" x14ac:dyDescent="0.25">
      <c r="A109" s="7">
        <v>44059</v>
      </c>
      <c r="B109" s="4">
        <v>303</v>
      </c>
      <c r="C109" s="4">
        <v>429</v>
      </c>
      <c r="D109" s="5">
        <v>407</v>
      </c>
      <c r="E109">
        <f t="shared" si="1"/>
        <v>0</v>
      </c>
    </row>
    <row r="110" spans="1:5" x14ac:dyDescent="0.25">
      <c r="A110" s="6">
        <v>44060</v>
      </c>
      <c r="B110" s="2">
        <v>449</v>
      </c>
      <c r="C110" s="2">
        <v>444</v>
      </c>
      <c r="D110" s="3">
        <v>425</v>
      </c>
      <c r="E110">
        <f t="shared" si="1"/>
        <v>0</v>
      </c>
    </row>
    <row r="111" spans="1:5" x14ac:dyDescent="0.25">
      <c r="A111" s="7">
        <v>44061</v>
      </c>
      <c r="B111" s="4">
        <v>300</v>
      </c>
      <c r="C111" s="4">
        <v>358</v>
      </c>
      <c r="D111" s="5">
        <v>377</v>
      </c>
      <c r="E111">
        <f t="shared" si="1"/>
        <v>1</v>
      </c>
    </row>
    <row r="112" spans="1:5" x14ac:dyDescent="0.25">
      <c r="A112" s="6">
        <v>44062</v>
      </c>
      <c r="B112" s="2">
        <v>307</v>
      </c>
      <c r="C112" s="2">
        <v>417</v>
      </c>
      <c r="D112" s="3">
        <v>405</v>
      </c>
      <c r="E112">
        <f t="shared" si="1"/>
        <v>0</v>
      </c>
    </row>
    <row r="113" spans="1:5" x14ac:dyDescent="0.25">
      <c r="A113" s="7">
        <v>44063</v>
      </c>
      <c r="B113" s="4">
        <v>314</v>
      </c>
      <c r="C113" s="4">
        <v>340</v>
      </c>
      <c r="D113" s="5">
        <v>345</v>
      </c>
      <c r="E113">
        <f t="shared" si="1"/>
        <v>1</v>
      </c>
    </row>
    <row r="114" spans="1:5" x14ac:dyDescent="0.25">
      <c r="A114" s="6">
        <v>44064</v>
      </c>
      <c r="B114" s="2">
        <v>379</v>
      </c>
      <c r="C114" s="2">
        <v>288</v>
      </c>
      <c r="D114" s="3">
        <v>353</v>
      </c>
      <c r="E114">
        <f t="shared" si="1"/>
        <v>0</v>
      </c>
    </row>
    <row r="115" spans="1:5" x14ac:dyDescent="0.25">
      <c r="A115" s="7">
        <v>44065</v>
      </c>
      <c r="B115" s="4">
        <v>405</v>
      </c>
      <c r="C115" s="4">
        <v>454</v>
      </c>
      <c r="D115" s="5">
        <v>342</v>
      </c>
      <c r="E115">
        <f t="shared" si="1"/>
        <v>0</v>
      </c>
    </row>
    <row r="116" spans="1:5" x14ac:dyDescent="0.25">
      <c r="A116" s="6">
        <v>44066</v>
      </c>
      <c r="B116" s="2">
        <v>407</v>
      </c>
      <c r="C116" s="2">
        <v>300</v>
      </c>
      <c r="D116" s="3">
        <v>365</v>
      </c>
      <c r="E116">
        <f t="shared" si="1"/>
        <v>0</v>
      </c>
    </row>
    <row r="117" spans="1:5" x14ac:dyDescent="0.25">
      <c r="A117" s="7">
        <v>44067</v>
      </c>
      <c r="B117" s="4">
        <v>432</v>
      </c>
      <c r="C117" s="4">
        <v>423</v>
      </c>
      <c r="D117" s="5">
        <v>221</v>
      </c>
      <c r="E117">
        <f t="shared" si="1"/>
        <v>0</v>
      </c>
    </row>
    <row r="118" spans="1:5" x14ac:dyDescent="0.25">
      <c r="A118" s="6">
        <v>44068</v>
      </c>
      <c r="B118" s="2">
        <v>405</v>
      </c>
      <c r="C118" s="2">
        <v>449</v>
      </c>
      <c r="D118" s="3">
        <v>231</v>
      </c>
      <c r="E118">
        <f t="shared" si="1"/>
        <v>0</v>
      </c>
    </row>
    <row r="119" spans="1:5" x14ac:dyDescent="0.25">
      <c r="A119" s="7">
        <v>44069</v>
      </c>
      <c r="B119" s="4">
        <v>162</v>
      </c>
      <c r="C119" s="4">
        <v>294</v>
      </c>
      <c r="D119" s="5">
        <v>255</v>
      </c>
      <c r="E119">
        <f t="shared" si="1"/>
        <v>0</v>
      </c>
    </row>
    <row r="120" spans="1:5" x14ac:dyDescent="0.25">
      <c r="A120" s="6">
        <v>44070</v>
      </c>
      <c r="B120" s="2">
        <v>297</v>
      </c>
      <c r="C120" s="2">
        <v>341</v>
      </c>
      <c r="D120" s="3">
        <v>223</v>
      </c>
      <c r="E120">
        <f t="shared" si="1"/>
        <v>0</v>
      </c>
    </row>
    <row r="121" spans="1:5" x14ac:dyDescent="0.25">
      <c r="A121" s="7">
        <v>44071</v>
      </c>
      <c r="B121" s="4">
        <v>226</v>
      </c>
      <c r="C121" s="4">
        <v>329</v>
      </c>
      <c r="D121" s="5">
        <v>261</v>
      </c>
      <c r="E121">
        <f t="shared" si="1"/>
        <v>0</v>
      </c>
    </row>
    <row r="122" spans="1:5" x14ac:dyDescent="0.25">
      <c r="A122" s="6">
        <v>44072</v>
      </c>
      <c r="B122" s="2">
        <v>226</v>
      </c>
      <c r="C122" s="2">
        <v>256</v>
      </c>
      <c r="D122" s="3">
        <v>239</v>
      </c>
      <c r="E122">
        <f t="shared" si="1"/>
        <v>0</v>
      </c>
    </row>
    <row r="123" spans="1:5" x14ac:dyDescent="0.25">
      <c r="A123" s="7">
        <v>44073</v>
      </c>
      <c r="B123" s="4">
        <v>287</v>
      </c>
      <c r="C123" s="4">
        <v>217</v>
      </c>
      <c r="D123" s="5">
        <v>262</v>
      </c>
      <c r="E123">
        <f t="shared" si="1"/>
        <v>0</v>
      </c>
    </row>
    <row r="124" spans="1:5" x14ac:dyDescent="0.25">
      <c r="A124" s="6">
        <v>44074</v>
      </c>
      <c r="B124" s="2">
        <v>351</v>
      </c>
      <c r="C124" s="2">
        <v>266</v>
      </c>
      <c r="D124" s="3">
        <v>226</v>
      </c>
      <c r="E124">
        <f t="shared" si="1"/>
        <v>0</v>
      </c>
    </row>
    <row r="125" spans="1:5" x14ac:dyDescent="0.25">
      <c r="A125" s="7">
        <v>44075</v>
      </c>
      <c r="B125" s="4">
        <v>214</v>
      </c>
      <c r="C125" s="4">
        <v>260</v>
      </c>
      <c r="D125" s="5">
        <v>241</v>
      </c>
      <c r="E125">
        <f t="shared" si="1"/>
        <v>0</v>
      </c>
    </row>
    <row r="126" spans="1:5" x14ac:dyDescent="0.25">
      <c r="A126" s="6">
        <v>44076</v>
      </c>
      <c r="B126" s="2">
        <v>282</v>
      </c>
      <c r="C126" s="2">
        <v>227</v>
      </c>
      <c r="D126" s="3">
        <v>258</v>
      </c>
      <c r="E126">
        <f t="shared" si="1"/>
        <v>0</v>
      </c>
    </row>
    <row r="127" spans="1:5" x14ac:dyDescent="0.25">
      <c r="A127" s="7">
        <v>44077</v>
      </c>
      <c r="B127" s="4">
        <v>257</v>
      </c>
      <c r="C127" s="4">
        <v>251</v>
      </c>
      <c r="D127" s="5">
        <v>252</v>
      </c>
      <c r="E127">
        <f t="shared" si="1"/>
        <v>0</v>
      </c>
    </row>
    <row r="128" spans="1:5" x14ac:dyDescent="0.25">
      <c r="A128" s="6">
        <v>44078</v>
      </c>
      <c r="B128" s="2">
        <v>172</v>
      </c>
      <c r="C128" s="2">
        <v>171</v>
      </c>
      <c r="D128" s="3">
        <v>268</v>
      </c>
      <c r="E128">
        <f t="shared" si="1"/>
        <v>1</v>
      </c>
    </row>
    <row r="129" spans="1:5" x14ac:dyDescent="0.25">
      <c r="A129" s="7">
        <v>44079</v>
      </c>
      <c r="B129" s="4">
        <v>197</v>
      </c>
      <c r="C129" s="4">
        <v>326</v>
      </c>
      <c r="D129" s="5">
        <v>224</v>
      </c>
      <c r="E129">
        <f t="shared" si="1"/>
        <v>0</v>
      </c>
    </row>
    <row r="130" spans="1:5" x14ac:dyDescent="0.25">
      <c r="A130" s="6">
        <v>44080</v>
      </c>
      <c r="B130" s="2">
        <v>292</v>
      </c>
      <c r="C130" s="2">
        <v>329</v>
      </c>
      <c r="D130" s="3">
        <v>255</v>
      </c>
      <c r="E130">
        <f t="shared" si="1"/>
        <v>0</v>
      </c>
    </row>
    <row r="131" spans="1:5" x14ac:dyDescent="0.25">
      <c r="A131" s="7">
        <v>44081</v>
      </c>
      <c r="B131" s="4">
        <v>172</v>
      </c>
      <c r="C131" s="4">
        <v>216</v>
      </c>
      <c r="D131" s="5">
        <v>199</v>
      </c>
      <c r="E131">
        <f t="shared" ref="E131:E154" si="2">IF(AND(D131&gt;C131,D131&gt;B131),1,0)</f>
        <v>0</v>
      </c>
    </row>
    <row r="132" spans="1:5" x14ac:dyDescent="0.25">
      <c r="A132" s="6">
        <v>44082</v>
      </c>
      <c r="B132" s="2">
        <v>258</v>
      </c>
      <c r="C132" s="2">
        <v>291</v>
      </c>
      <c r="D132" s="3">
        <v>220</v>
      </c>
      <c r="E132">
        <f t="shared" si="2"/>
        <v>0</v>
      </c>
    </row>
    <row r="133" spans="1:5" x14ac:dyDescent="0.25">
      <c r="A133" s="7">
        <v>44083</v>
      </c>
      <c r="B133" s="4">
        <v>276</v>
      </c>
      <c r="C133" s="4">
        <v>347</v>
      </c>
      <c r="D133" s="5">
        <v>197</v>
      </c>
      <c r="E133">
        <f t="shared" si="2"/>
        <v>0</v>
      </c>
    </row>
    <row r="134" spans="1:5" x14ac:dyDescent="0.25">
      <c r="A134" s="6">
        <v>44084</v>
      </c>
      <c r="B134" s="2">
        <v>210</v>
      </c>
      <c r="C134" s="2">
        <v>333</v>
      </c>
      <c r="D134" s="3">
        <v>218</v>
      </c>
      <c r="E134">
        <f t="shared" si="2"/>
        <v>0</v>
      </c>
    </row>
    <row r="135" spans="1:5" x14ac:dyDescent="0.25">
      <c r="A135" s="7">
        <v>44085</v>
      </c>
      <c r="B135" s="4">
        <v>168</v>
      </c>
      <c r="C135" s="4">
        <v>211</v>
      </c>
      <c r="D135" s="5">
        <v>180</v>
      </c>
      <c r="E135">
        <f t="shared" si="2"/>
        <v>0</v>
      </c>
    </row>
    <row r="136" spans="1:5" x14ac:dyDescent="0.25">
      <c r="A136" s="6">
        <v>44086</v>
      </c>
      <c r="B136" s="2">
        <v>196</v>
      </c>
      <c r="C136" s="2">
        <v>348</v>
      </c>
      <c r="D136" s="3">
        <v>225</v>
      </c>
      <c r="E136">
        <f t="shared" si="2"/>
        <v>0</v>
      </c>
    </row>
    <row r="137" spans="1:5" x14ac:dyDescent="0.25">
      <c r="A137" s="7">
        <v>44087</v>
      </c>
      <c r="B137" s="4">
        <v>284</v>
      </c>
      <c r="C137" s="4">
        <v>226</v>
      </c>
      <c r="D137" s="5">
        <v>197</v>
      </c>
      <c r="E137">
        <f t="shared" si="2"/>
        <v>0</v>
      </c>
    </row>
    <row r="138" spans="1:5" x14ac:dyDescent="0.25">
      <c r="A138" s="6">
        <v>44088</v>
      </c>
      <c r="B138" s="2">
        <v>162</v>
      </c>
      <c r="C138" s="2">
        <v>345</v>
      </c>
      <c r="D138" s="3">
        <v>194</v>
      </c>
      <c r="E138">
        <f t="shared" si="2"/>
        <v>0</v>
      </c>
    </row>
    <row r="139" spans="1:5" x14ac:dyDescent="0.25">
      <c r="A139" s="7">
        <v>44089</v>
      </c>
      <c r="B139" s="4">
        <v>212</v>
      </c>
      <c r="C139" s="4">
        <v>184</v>
      </c>
      <c r="D139" s="5">
        <v>183</v>
      </c>
      <c r="E139">
        <f t="shared" si="2"/>
        <v>0</v>
      </c>
    </row>
    <row r="140" spans="1:5" x14ac:dyDescent="0.25">
      <c r="A140" s="6">
        <v>44090</v>
      </c>
      <c r="B140" s="2">
        <v>165</v>
      </c>
      <c r="C140" s="2">
        <v>232</v>
      </c>
      <c r="D140" s="3">
        <v>202</v>
      </c>
      <c r="E140">
        <f t="shared" si="2"/>
        <v>0</v>
      </c>
    </row>
    <row r="141" spans="1:5" x14ac:dyDescent="0.25">
      <c r="A141" s="7">
        <v>44091</v>
      </c>
      <c r="B141" s="4">
        <v>163</v>
      </c>
      <c r="C141" s="4">
        <v>314</v>
      </c>
      <c r="D141" s="5">
        <v>213</v>
      </c>
      <c r="E141">
        <f t="shared" si="2"/>
        <v>0</v>
      </c>
    </row>
    <row r="142" spans="1:5" x14ac:dyDescent="0.25">
      <c r="A142" s="6">
        <v>44092</v>
      </c>
      <c r="B142" s="2">
        <v>200</v>
      </c>
      <c r="C142" s="2">
        <v>307</v>
      </c>
      <c r="D142" s="3">
        <v>206</v>
      </c>
      <c r="E142">
        <f t="shared" si="2"/>
        <v>0</v>
      </c>
    </row>
    <row r="143" spans="1:5" x14ac:dyDescent="0.25">
      <c r="A143" s="7">
        <v>44093</v>
      </c>
      <c r="B143" s="4">
        <v>201</v>
      </c>
      <c r="C143" s="4">
        <v>274</v>
      </c>
      <c r="D143" s="5">
        <v>210</v>
      </c>
      <c r="E143">
        <f t="shared" si="2"/>
        <v>0</v>
      </c>
    </row>
    <row r="144" spans="1:5" x14ac:dyDescent="0.25">
      <c r="A144" s="6">
        <v>44094</v>
      </c>
      <c r="B144" s="2">
        <v>269</v>
      </c>
      <c r="C144" s="2">
        <v>278</v>
      </c>
      <c r="D144" s="3">
        <v>228</v>
      </c>
      <c r="E144">
        <f t="shared" si="2"/>
        <v>0</v>
      </c>
    </row>
    <row r="145" spans="1:5" x14ac:dyDescent="0.25">
      <c r="A145" s="7">
        <v>44095</v>
      </c>
      <c r="B145" s="4">
        <v>188</v>
      </c>
      <c r="C145" s="4">
        <v>195</v>
      </c>
      <c r="D145" s="5">
        <v>207</v>
      </c>
      <c r="E145">
        <f t="shared" si="2"/>
        <v>1</v>
      </c>
    </row>
    <row r="146" spans="1:5" x14ac:dyDescent="0.25">
      <c r="A146" s="6">
        <v>44096</v>
      </c>
      <c r="B146" s="2">
        <v>142</v>
      </c>
      <c r="C146" s="2">
        <v>249</v>
      </c>
      <c r="D146" s="3">
        <v>202</v>
      </c>
      <c r="E146">
        <f t="shared" si="2"/>
        <v>0</v>
      </c>
    </row>
    <row r="147" spans="1:5" x14ac:dyDescent="0.25">
      <c r="A147" s="7">
        <v>44097</v>
      </c>
      <c r="B147" s="4">
        <v>232</v>
      </c>
      <c r="C147" s="4">
        <v>116</v>
      </c>
      <c r="D147" s="5">
        <v>195</v>
      </c>
      <c r="E147">
        <f t="shared" si="2"/>
        <v>0</v>
      </c>
    </row>
    <row r="148" spans="1:5" x14ac:dyDescent="0.25">
      <c r="A148" s="6">
        <v>44098</v>
      </c>
      <c r="B148" s="2">
        <v>296</v>
      </c>
      <c r="C148" s="2">
        <v>102</v>
      </c>
      <c r="D148" s="3">
        <v>192</v>
      </c>
      <c r="E148">
        <f t="shared" si="2"/>
        <v>0</v>
      </c>
    </row>
    <row r="149" spans="1:5" x14ac:dyDescent="0.25">
      <c r="A149" s="7">
        <v>44099</v>
      </c>
      <c r="B149" s="4">
        <v>161</v>
      </c>
      <c r="C149" s="4">
        <v>151</v>
      </c>
      <c r="D149" s="5">
        <v>216</v>
      </c>
      <c r="E149">
        <f t="shared" si="2"/>
        <v>1</v>
      </c>
    </row>
    <row r="150" spans="1:5" x14ac:dyDescent="0.25">
      <c r="A150" s="6">
        <v>44100</v>
      </c>
      <c r="B150" s="2">
        <v>162</v>
      </c>
      <c r="C150" s="2">
        <v>261</v>
      </c>
      <c r="D150" s="3">
        <v>184</v>
      </c>
      <c r="E150">
        <f t="shared" si="2"/>
        <v>0</v>
      </c>
    </row>
    <row r="151" spans="1:5" x14ac:dyDescent="0.25">
      <c r="A151" s="7">
        <v>44101</v>
      </c>
      <c r="B151" s="4">
        <v>216</v>
      </c>
      <c r="C151" s="4">
        <v>147</v>
      </c>
      <c r="D151" s="5">
        <v>204</v>
      </c>
      <c r="E151">
        <f t="shared" si="2"/>
        <v>0</v>
      </c>
    </row>
    <row r="152" spans="1:5" x14ac:dyDescent="0.25">
      <c r="A152" s="6">
        <v>44102</v>
      </c>
      <c r="B152" s="2">
        <v>282</v>
      </c>
      <c r="C152" s="2">
        <v>297</v>
      </c>
      <c r="D152" s="3">
        <v>195</v>
      </c>
      <c r="E152">
        <f t="shared" si="2"/>
        <v>0</v>
      </c>
    </row>
    <row r="153" spans="1:5" x14ac:dyDescent="0.25">
      <c r="A153" s="7">
        <v>44103</v>
      </c>
      <c r="B153" s="4">
        <v>214</v>
      </c>
      <c r="C153" s="4">
        <v>198</v>
      </c>
      <c r="D153" s="5">
        <v>200</v>
      </c>
      <c r="E153">
        <f t="shared" si="2"/>
        <v>0</v>
      </c>
    </row>
    <row r="154" spans="1:5" x14ac:dyDescent="0.25">
      <c r="A154" s="6">
        <v>44104</v>
      </c>
      <c r="B154" s="2">
        <v>289</v>
      </c>
      <c r="C154" s="2">
        <v>290</v>
      </c>
      <c r="D154" s="3">
        <v>190</v>
      </c>
      <c r="E154">
        <f t="shared" si="2"/>
        <v>0</v>
      </c>
    </row>
    <row r="155" spans="1:5" x14ac:dyDescent="0.25">
      <c r="C155" t="s">
        <v>17</v>
      </c>
      <c r="D155">
        <f>SUM(E2:E154)</f>
        <v>19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2FE63-6A4B-4358-8DAF-35E2A3CB2A2E}">
  <dimension ref="A1:M154"/>
  <sheetViews>
    <sheetView tabSelected="1" workbookViewId="0">
      <selection activeCell="M6" sqref="M6"/>
    </sheetView>
  </sheetViews>
  <sheetFormatPr defaultRowHeight="15" x14ac:dyDescent="0.25"/>
  <cols>
    <col min="1" max="1" width="10.140625" style="1" bestFit="1" customWidth="1"/>
    <col min="5" max="5" width="10.140625" style="14" bestFit="1" customWidth="1"/>
    <col min="7" max="7" width="9.85546875" customWidth="1"/>
    <col min="8" max="9" width="17.7109375" customWidth="1"/>
    <col min="10" max="10" width="19.85546875" customWidth="1"/>
    <col min="11" max="11" width="20.140625" customWidth="1"/>
    <col min="12" max="12" width="17.42578125" customWidth="1"/>
  </cols>
  <sheetData>
    <row r="1" spans="1:13" x14ac:dyDescent="0.25">
      <c r="A1" s="1" t="s">
        <v>4</v>
      </c>
      <c r="B1" t="s">
        <v>1</v>
      </c>
      <c r="C1" t="s">
        <v>5</v>
      </c>
      <c r="D1" t="s">
        <v>6</v>
      </c>
      <c r="E1" s="14" t="s">
        <v>21</v>
      </c>
      <c r="F1" t="s">
        <v>22</v>
      </c>
      <c r="G1" t="s">
        <v>23</v>
      </c>
      <c r="H1" t="s">
        <v>18</v>
      </c>
      <c r="I1" t="s">
        <v>19</v>
      </c>
      <c r="J1" t="s">
        <v>20</v>
      </c>
    </row>
    <row r="2" spans="1:13" x14ac:dyDescent="0.25">
      <c r="A2" s="6">
        <v>43952</v>
      </c>
      <c r="B2" s="2">
        <v>211</v>
      </c>
      <c r="C2" s="2">
        <v>281</v>
      </c>
      <c r="D2" s="3">
        <v>88</v>
      </c>
      <c r="E2" s="14">
        <f>B2-H2-I2</f>
        <v>0</v>
      </c>
      <c r="F2">
        <f>C2-H2-J2</f>
        <v>70</v>
      </c>
      <c r="G2">
        <f>D2-I2-J2</f>
        <v>88</v>
      </c>
      <c r="H2">
        <f>IF(AND(C2&gt;D2,B2&gt;D2),MIN(B2,C2),0)</f>
        <v>211</v>
      </c>
      <c r="I2">
        <v>0</v>
      </c>
      <c r="J2">
        <v>0</v>
      </c>
      <c r="K2" t="s">
        <v>18</v>
      </c>
      <c r="L2" t="s">
        <v>24</v>
      </c>
      <c r="M2" t="s">
        <v>20</v>
      </c>
    </row>
    <row r="3" spans="1:13" x14ac:dyDescent="0.25">
      <c r="A3" s="7">
        <v>43953</v>
      </c>
      <c r="B3" s="4">
        <v>393</v>
      </c>
      <c r="C3" s="4">
        <v>313</v>
      </c>
      <c r="D3" s="5">
        <v>83</v>
      </c>
      <c r="E3" s="14">
        <f>B3+E2-H3-I3</f>
        <v>10</v>
      </c>
      <c r="F3">
        <f>C3-H3-J3+F2</f>
        <v>0</v>
      </c>
      <c r="G3">
        <f>D3-I3-J3+G2</f>
        <v>171</v>
      </c>
      <c r="H3">
        <f>IF(AND(C3+F2&gt;D3+G2,B3+E2&gt;D3+G2),MIN(B3+E2,C3+F2),0)</f>
        <v>383</v>
      </c>
      <c r="I3">
        <f>IF(AND(D3+G2&gt;C3+F2,B3+E2&gt;F2+C3),MIN(B3+E2,D3+G2),0)</f>
        <v>0</v>
      </c>
      <c r="J3">
        <f>IF(AND(D3+G2&gt;B3+E2,F2+C3&gt;B3+E2),MIN(F2+C3,D3+G2),0)</f>
        <v>0</v>
      </c>
      <c r="K3">
        <f>COUNTIFS(H2:H154,"&gt;0")</f>
        <v>72</v>
      </c>
      <c r="L3">
        <f>COUNTIFS(I2:I154,"&gt;0")</f>
        <v>41</v>
      </c>
      <c r="M3">
        <f>COUNTIFS(J2:J154,"&gt;0")</f>
        <v>40</v>
      </c>
    </row>
    <row r="4" spans="1:13" x14ac:dyDescent="0.25">
      <c r="A4" s="6">
        <v>43954</v>
      </c>
      <c r="B4" s="2">
        <v>389</v>
      </c>
      <c r="C4" s="2">
        <v>315</v>
      </c>
      <c r="D4" s="3">
        <v>104</v>
      </c>
      <c r="E4" s="14">
        <f t="shared" ref="E4:E67" si="0">B4+E3-H4-I4</f>
        <v>84</v>
      </c>
      <c r="F4">
        <f t="shared" ref="F4:F67" si="1">C4-H4-J4+F3</f>
        <v>0</v>
      </c>
      <c r="G4">
        <f t="shared" ref="G4:G67" si="2">D4-I4-J4+G3</f>
        <v>275</v>
      </c>
      <c r="H4">
        <f t="shared" ref="H4:H67" si="3">IF(AND(C4+F3&gt;D4+G3,B4+E3&gt;D4+G3),MIN(B4+E3,C4+F3),0)</f>
        <v>315</v>
      </c>
      <c r="I4">
        <f t="shared" ref="I4:I67" si="4">IF(AND(D4+G3&gt;C4+F3,B4+E3&gt;F3+C4),MIN(B4+E3,D4+G3),0)</f>
        <v>0</v>
      </c>
      <c r="J4">
        <f t="shared" ref="J4:J67" si="5">IF(AND(D4+G3&gt;B4+E3,F3+C4&gt;B4+E3),MIN(F3+C4,D4+G3),0)</f>
        <v>0</v>
      </c>
      <c r="K4" t="s">
        <v>25</v>
      </c>
      <c r="L4" t="s">
        <v>25</v>
      </c>
      <c r="M4" t="s">
        <v>26</v>
      </c>
    </row>
    <row r="5" spans="1:13" x14ac:dyDescent="0.25">
      <c r="A5" s="7">
        <v>43955</v>
      </c>
      <c r="B5" s="4">
        <v>308</v>
      </c>
      <c r="C5" s="4">
        <v>221</v>
      </c>
      <c r="D5" s="5">
        <v>119</v>
      </c>
      <c r="E5" s="14">
        <f t="shared" si="0"/>
        <v>0</v>
      </c>
      <c r="F5">
        <f t="shared" si="1"/>
        <v>221</v>
      </c>
      <c r="G5">
        <f t="shared" si="2"/>
        <v>2</v>
      </c>
      <c r="H5">
        <f t="shared" si="3"/>
        <v>0</v>
      </c>
      <c r="I5">
        <f t="shared" si="4"/>
        <v>392</v>
      </c>
      <c r="J5">
        <f t="shared" si="5"/>
        <v>0</v>
      </c>
      <c r="K5">
        <f>SUM(H2:H154)</f>
        <v>29732</v>
      </c>
      <c r="L5">
        <f>SUM(I2:I154)</f>
        <v>18008</v>
      </c>
      <c r="M5">
        <f>SUM(J2:J154)</f>
        <v>18382</v>
      </c>
    </row>
    <row r="6" spans="1:13" x14ac:dyDescent="0.25">
      <c r="A6" s="6">
        <v>43956</v>
      </c>
      <c r="B6" s="2">
        <v>387</v>
      </c>
      <c r="C6" s="2">
        <v>275</v>
      </c>
      <c r="D6" s="3">
        <v>72</v>
      </c>
      <c r="E6" s="14">
        <f t="shared" si="0"/>
        <v>0</v>
      </c>
      <c r="F6">
        <f t="shared" si="1"/>
        <v>109</v>
      </c>
      <c r="G6">
        <f t="shared" si="2"/>
        <v>74</v>
      </c>
      <c r="H6">
        <f t="shared" si="3"/>
        <v>387</v>
      </c>
      <c r="I6">
        <f t="shared" si="4"/>
        <v>0</v>
      </c>
      <c r="J6">
        <f t="shared" si="5"/>
        <v>0</v>
      </c>
    </row>
    <row r="7" spans="1:13" x14ac:dyDescent="0.25">
      <c r="A7" s="7">
        <v>43957</v>
      </c>
      <c r="B7" s="4">
        <v>294</v>
      </c>
      <c r="C7" s="4">
        <v>366</v>
      </c>
      <c r="D7" s="5">
        <v>99</v>
      </c>
      <c r="E7" s="14">
        <f t="shared" si="0"/>
        <v>0</v>
      </c>
      <c r="F7">
        <f t="shared" si="1"/>
        <v>181</v>
      </c>
      <c r="G7">
        <f t="shared" si="2"/>
        <v>173</v>
      </c>
      <c r="H7">
        <f t="shared" si="3"/>
        <v>294</v>
      </c>
      <c r="I7">
        <f t="shared" si="4"/>
        <v>0</v>
      </c>
      <c r="J7">
        <f t="shared" si="5"/>
        <v>0</v>
      </c>
    </row>
    <row r="8" spans="1:13" x14ac:dyDescent="0.25">
      <c r="A8" s="6">
        <v>43958</v>
      </c>
      <c r="B8" s="2">
        <v>389</v>
      </c>
      <c r="C8" s="2">
        <v>288</v>
      </c>
      <c r="D8" s="3">
        <v>87</v>
      </c>
      <c r="E8" s="14">
        <f t="shared" si="0"/>
        <v>0</v>
      </c>
      <c r="F8">
        <f t="shared" si="1"/>
        <v>80</v>
      </c>
      <c r="G8">
        <f t="shared" si="2"/>
        <v>260</v>
      </c>
      <c r="H8">
        <f t="shared" si="3"/>
        <v>389</v>
      </c>
      <c r="I8">
        <f t="shared" si="4"/>
        <v>0</v>
      </c>
      <c r="J8">
        <f t="shared" si="5"/>
        <v>0</v>
      </c>
    </row>
    <row r="9" spans="1:13" x14ac:dyDescent="0.25">
      <c r="A9" s="7">
        <v>43959</v>
      </c>
      <c r="B9" s="4">
        <v>259</v>
      </c>
      <c r="C9" s="4">
        <v>361</v>
      </c>
      <c r="D9" s="5">
        <v>112</v>
      </c>
      <c r="E9" s="14">
        <f t="shared" si="0"/>
        <v>259</v>
      </c>
      <c r="F9">
        <f t="shared" si="1"/>
        <v>69</v>
      </c>
      <c r="G9">
        <f t="shared" si="2"/>
        <v>0</v>
      </c>
      <c r="H9">
        <f t="shared" si="3"/>
        <v>0</v>
      </c>
      <c r="I9">
        <f t="shared" si="4"/>
        <v>0</v>
      </c>
      <c r="J9">
        <f t="shared" si="5"/>
        <v>372</v>
      </c>
    </row>
    <row r="10" spans="1:13" x14ac:dyDescent="0.25">
      <c r="A10" s="6">
        <v>43960</v>
      </c>
      <c r="B10" s="2">
        <v>369</v>
      </c>
      <c r="C10" s="2">
        <v>233</v>
      </c>
      <c r="D10" s="3">
        <v>110</v>
      </c>
      <c r="E10" s="14">
        <f t="shared" si="0"/>
        <v>326</v>
      </c>
      <c r="F10">
        <f t="shared" si="1"/>
        <v>0</v>
      </c>
      <c r="G10">
        <f t="shared" si="2"/>
        <v>110</v>
      </c>
      <c r="H10">
        <f t="shared" si="3"/>
        <v>302</v>
      </c>
      <c r="I10">
        <f t="shared" si="4"/>
        <v>0</v>
      </c>
      <c r="J10">
        <f t="shared" si="5"/>
        <v>0</v>
      </c>
    </row>
    <row r="11" spans="1:13" x14ac:dyDescent="0.25">
      <c r="A11" s="7">
        <v>43961</v>
      </c>
      <c r="B11" s="4">
        <v>263</v>
      </c>
      <c r="C11" s="4">
        <v>393</v>
      </c>
      <c r="D11" s="5">
        <v>75</v>
      </c>
      <c r="E11" s="14">
        <f t="shared" si="0"/>
        <v>196</v>
      </c>
      <c r="F11">
        <f t="shared" si="1"/>
        <v>0</v>
      </c>
      <c r="G11">
        <f t="shared" si="2"/>
        <v>185</v>
      </c>
      <c r="H11">
        <f t="shared" si="3"/>
        <v>393</v>
      </c>
      <c r="I11">
        <f t="shared" si="4"/>
        <v>0</v>
      </c>
      <c r="J11">
        <f t="shared" si="5"/>
        <v>0</v>
      </c>
    </row>
    <row r="12" spans="1:13" x14ac:dyDescent="0.25">
      <c r="A12" s="6">
        <v>43962</v>
      </c>
      <c r="B12" s="2">
        <v>239</v>
      </c>
      <c r="C12" s="2">
        <v>347</v>
      </c>
      <c r="D12" s="3">
        <v>94</v>
      </c>
      <c r="E12" s="14">
        <f t="shared" si="0"/>
        <v>88</v>
      </c>
      <c r="F12">
        <f t="shared" si="1"/>
        <v>0</v>
      </c>
      <c r="G12">
        <f t="shared" si="2"/>
        <v>279</v>
      </c>
      <c r="H12">
        <f t="shared" si="3"/>
        <v>347</v>
      </c>
      <c r="I12">
        <f t="shared" si="4"/>
        <v>0</v>
      </c>
      <c r="J12">
        <f t="shared" si="5"/>
        <v>0</v>
      </c>
    </row>
    <row r="13" spans="1:13" x14ac:dyDescent="0.25">
      <c r="A13" s="7">
        <v>43963</v>
      </c>
      <c r="B13" s="4">
        <v>282</v>
      </c>
      <c r="C13" s="4">
        <v>338</v>
      </c>
      <c r="D13" s="5">
        <v>86</v>
      </c>
      <c r="E13" s="14">
        <f t="shared" si="0"/>
        <v>5</v>
      </c>
      <c r="F13">
        <f t="shared" si="1"/>
        <v>338</v>
      </c>
      <c r="G13">
        <f t="shared" si="2"/>
        <v>0</v>
      </c>
      <c r="H13">
        <f t="shared" si="3"/>
        <v>0</v>
      </c>
      <c r="I13">
        <f t="shared" si="4"/>
        <v>365</v>
      </c>
      <c r="J13">
        <f t="shared" si="5"/>
        <v>0</v>
      </c>
    </row>
    <row r="14" spans="1:13" x14ac:dyDescent="0.25">
      <c r="A14" s="6">
        <v>43964</v>
      </c>
      <c r="B14" s="2">
        <v>306</v>
      </c>
      <c r="C14" s="2">
        <v>273</v>
      </c>
      <c r="D14" s="3">
        <v>75</v>
      </c>
      <c r="E14" s="14">
        <f t="shared" si="0"/>
        <v>0</v>
      </c>
      <c r="F14">
        <f t="shared" si="1"/>
        <v>300</v>
      </c>
      <c r="G14">
        <f t="shared" si="2"/>
        <v>75</v>
      </c>
      <c r="H14">
        <f t="shared" si="3"/>
        <v>311</v>
      </c>
      <c r="I14">
        <f t="shared" si="4"/>
        <v>0</v>
      </c>
      <c r="J14">
        <f t="shared" si="5"/>
        <v>0</v>
      </c>
    </row>
    <row r="15" spans="1:13" x14ac:dyDescent="0.25">
      <c r="A15" s="7">
        <v>43965</v>
      </c>
      <c r="B15" s="4">
        <v>251</v>
      </c>
      <c r="C15" s="4">
        <v>325</v>
      </c>
      <c r="D15" s="5">
        <v>89</v>
      </c>
      <c r="E15" s="14">
        <f t="shared" si="0"/>
        <v>0</v>
      </c>
      <c r="F15">
        <f t="shared" si="1"/>
        <v>374</v>
      </c>
      <c r="G15">
        <f t="shared" si="2"/>
        <v>164</v>
      </c>
      <c r="H15">
        <f t="shared" si="3"/>
        <v>251</v>
      </c>
      <c r="I15">
        <f t="shared" si="4"/>
        <v>0</v>
      </c>
      <c r="J15">
        <f t="shared" si="5"/>
        <v>0</v>
      </c>
    </row>
    <row r="16" spans="1:13" x14ac:dyDescent="0.25">
      <c r="A16" s="6">
        <v>43966</v>
      </c>
      <c r="B16" s="2">
        <v>224</v>
      </c>
      <c r="C16" s="2">
        <v>352</v>
      </c>
      <c r="D16" s="3">
        <v>97</v>
      </c>
      <c r="E16" s="14">
        <f t="shared" si="0"/>
        <v>224</v>
      </c>
      <c r="F16">
        <f t="shared" si="1"/>
        <v>465</v>
      </c>
      <c r="G16">
        <f t="shared" si="2"/>
        <v>0</v>
      </c>
      <c r="H16">
        <f t="shared" si="3"/>
        <v>0</v>
      </c>
      <c r="I16">
        <f t="shared" si="4"/>
        <v>0</v>
      </c>
      <c r="J16">
        <f t="shared" si="5"/>
        <v>261</v>
      </c>
    </row>
    <row r="17" spans="1:10" x14ac:dyDescent="0.25">
      <c r="A17" s="7">
        <v>43967</v>
      </c>
      <c r="B17" s="4">
        <v>233</v>
      </c>
      <c r="C17" s="4">
        <v>270</v>
      </c>
      <c r="D17" s="5">
        <v>94</v>
      </c>
      <c r="E17" s="14">
        <f t="shared" si="0"/>
        <v>0</v>
      </c>
      <c r="F17">
        <f t="shared" si="1"/>
        <v>278</v>
      </c>
      <c r="G17">
        <f t="shared" si="2"/>
        <v>94</v>
      </c>
      <c r="H17">
        <f t="shared" si="3"/>
        <v>457</v>
      </c>
      <c r="I17">
        <f t="shared" si="4"/>
        <v>0</v>
      </c>
      <c r="J17">
        <f t="shared" si="5"/>
        <v>0</v>
      </c>
    </row>
    <row r="18" spans="1:10" x14ac:dyDescent="0.25">
      <c r="A18" s="6">
        <v>43968</v>
      </c>
      <c r="B18" s="2">
        <v>345</v>
      </c>
      <c r="C18" s="2">
        <v>275</v>
      </c>
      <c r="D18" s="3">
        <v>90</v>
      </c>
      <c r="E18" s="14">
        <f t="shared" si="0"/>
        <v>0</v>
      </c>
      <c r="F18">
        <f t="shared" si="1"/>
        <v>208</v>
      </c>
      <c r="G18">
        <f t="shared" si="2"/>
        <v>184</v>
      </c>
      <c r="H18">
        <f t="shared" si="3"/>
        <v>345</v>
      </c>
      <c r="I18">
        <f t="shared" si="4"/>
        <v>0</v>
      </c>
      <c r="J18">
        <f t="shared" si="5"/>
        <v>0</v>
      </c>
    </row>
    <row r="19" spans="1:10" x14ac:dyDescent="0.25">
      <c r="A19" s="7">
        <v>43969</v>
      </c>
      <c r="B19" s="4">
        <v>232</v>
      </c>
      <c r="C19" s="4">
        <v>228</v>
      </c>
      <c r="D19" s="5">
        <v>107</v>
      </c>
      <c r="E19" s="14">
        <f t="shared" si="0"/>
        <v>232</v>
      </c>
      <c r="F19">
        <f t="shared" si="1"/>
        <v>145</v>
      </c>
      <c r="G19">
        <f t="shared" si="2"/>
        <v>0</v>
      </c>
      <c r="H19">
        <f t="shared" si="3"/>
        <v>0</v>
      </c>
      <c r="I19">
        <f t="shared" si="4"/>
        <v>0</v>
      </c>
      <c r="J19">
        <f t="shared" si="5"/>
        <v>291</v>
      </c>
    </row>
    <row r="20" spans="1:10" x14ac:dyDescent="0.25">
      <c r="A20" s="6">
        <v>43970</v>
      </c>
      <c r="B20" s="2">
        <v>238</v>
      </c>
      <c r="C20" s="2">
        <v>394</v>
      </c>
      <c r="D20" s="3">
        <v>105</v>
      </c>
      <c r="E20" s="14">
        <f t="shared" si="0"/>
        <v>0</v>
      </c>
      <c r="F20">
        <f t="shared" si="1"/>
        <v>69</v>
      </c>
      <c r="G20">
        <f t="shared" si="2"/>
        <v>105</v>
      </c>
      <c r="H20">
        <f t="shared" si="3"/>
        <v>470</v>
      </c>
      <c r="I20">
        <f t="shared" si="4"/>
        <v>0</v>
      </c>
      <c r="J20">
        <f t="shared" si="5"/>
        <v>0</v>
      </c>
    </row>
    <row r="21" spans="1:10" x14ac:dyDescent="0.25">
      <c r="A21" s="7">
        <v>43971</v>
      </c>
      <c r="B21" s="4">
        <v>378</v>
      </c>
      <c r="C21" s="4">
        <v>311</v>
      </c>
      <c r="D21" s="5">
        <v>110</v>
      </c>
      <c r="E21" s="14">
        <f t="shared" si="0"/>
        <v>0</v>
      </c>
      <c r="F21">
        <f t="shared" si="1"/>
        <v>2</v>
      </c>
      <c r="G21">
        <f t="shared" si="2"/>
        <v>215</v>
      </c>
      <c r="H21">
        <f t="shared" si="3"/>
        <v>378</v>
      </c>
      <c r="I21">
        <f t="shared" si="4"/>
        <v>0</v>
      </c>
      <c r="J21">
        <f t="shared" si="5"/>
        <v>0</v>
      </c>
    </row>
    <row r="22" spans="1:10" x14ac:dyDescent="0.25">
      <c r="A22" s="6">
        <v>43972</v>
      </c>
      <c r="B22" s="2">
        <v>281</v>
      </c>
      <c r="C22" s="2">
        <v>354</v>
      </c>
      <c r="D22" s="3">
        <v>121</v>
      </c>
      <c r="E22" s="14">
        <f t="shared" si="0"/>
        <v>281</v>
      </c>
      <c r="F22">
        <f t="shared" si="1"/>
        <v>20</v>
      </c>
      <c r="G22">
        <f t="shared" si="2"/>
        <v>0</v>
      </c>
      <c r="H22">
        <f t="shared" si="3"/>
        <v>0</v>
      </c>
      <c r="I22">
        <f t="shared" si="4"/>
        <v>0</v>
      </c>
      <c r="J22">
        <f t="shared" si="5"/>
        <v>336</v>
      </c>
    </row>
    <row r="23" spans="1:10" x14ac:dyDescent="0.25">
      <c r="A23" s="7">
        <v>43973</v>
      </c>
      <c r="B23" s="4">
        <v>390</v>
      </c>
      <c r="C23" s="4">
        <v>267</v>
      </c>
      <c r="D23" s="5">
        <v>124</v>
      </c>
      <c r="E23" s="14">
        <f t="shared" si="0"/>
        <v>384</v>
      </c>
      <c r="F23">
        <f t="shared" si="1"/>
        <v>0</v>
      </c>
      <c r="G23">
        <f t="shared" si="2"/>
        <v>124</v>
      </c>
      <c r="H23">
        <f t="shared" si="3"/>
        <v>287</v>
      </c>
      <c r="I23">
        <f t="shared" si="4"/>
        <v>0</v>
      </c>
      <c r="J23">
        <f t="shared" si="5"/>
        <v>0</v>
      </c>
    </row>
    <row r="24" spans="1:10" x14ac:dyDescent="0.25">
      <c r="A24" s="6">
        <v>43974</v>
      </c>
      <c r="B24" s="2">
        <v>308</v>
      </c>
      <c r="C24" s="2">
        <v>337</v>
      </c>
      <c r="D24" s="3">
        <v>105</v>
      </c>
      <c r="E24" s="14">
        <f t="shared" si="0"/>
        <v>355</v>
      </c>
      <c r="F24">
        <f t="shared" si="1"/>
        <v>0</v>
      </c>
      <c r="G24">
        <f t="shared" si="2"/>
        <v>229</v>
      </c>
      <c r="H24">
        <f t="shared" si="3"/>
        <v>337</v>
      </c>
      <c r="I24">
        <f t="shared" si="4"/>
        <v>0</v>
      </c>
      <c r="J24">
        <f t="shared" si="5"/>
        <v>0</v>
      </c>
    </row>
    <row r="25" spans="1:10" x14ac:dyDescent="0.25">
      <c r="A25" s="7">
        <v>43975</v>
      </c>
      <c r="B25" s="4">
        <v>391</v>
      </c>
      <c r="C25" s="4">
        <v>238</v>
      </c>
      <c r="D25" s="5">
        <v>113</v>
      </c>
      <c r="E25" s="14">
        <f t="shared" si="0"/>
        <v>404</v>
      </c>
      <c r="F25">
        <f t="shared" si="1"/>
        <v>238</v>
      </c>
      <c r="G25">
        <f t="shared" si="2"/>
        <v>0</v>
      </c>
      <c r="H25">
        <f t="shared" si="3"/>
        <v>0</v>
      </c>
      <c r="I25">
        <f t="shared" si="4"/>
        <v>342</v>
      </c>
      <c r="J25">
        <f t="shared" si="5"/>
        <v>0</v>
      </c>
    </row>
    <row r="26" spans="1:10" x14ac:dyDescent="0.25">
      <c r="A26" s="6">
        <v>43976</v>
      </c>
      <c r="B26" s="2">
        <v>241</v>
      </c>
      <c r="C26" s="2">
        <v>283</v>
      </c>
      <c r="D26" s="3">
        <v>140</v>
      </c>
      <c r="E26" s="14">
        <f t="shared" si="0"/>
        <v>124</v>
      </c>
      <c r="F26">
        <f t="shared" si="1"/>
        <v>0</v>
      </c>
      <c r="G26">
        <f t="shared" si="2"/>
        <v>140</v>
      </c>
      <c r="H26">
        <f t="shared" si="3"/>
        <v>521</v>
      </c>
      <c r="I26">
        <f t="shared" si="4"/>
        <v>0</v>
      </c>
      <c r="J26">
        <f t="shared" si="5"/>
        <v>0</v>
      </c>
    </row>
    <row r="27" spans="1:10" x14ac:dyDescent="0.25">
      <c r="A27" s="7">
        <v>43977</v>
      </c>
      <c r="B27" s="4">
        <v>249</v>
      </c>
      <c r="C27" s="4">
        <v>275</v>
      </c>
      <c r="D27" s="5">
        <v>118</v>
      </c>
      <c r="E27" s="14">
        <f t="shared" si="0"/>
        <v>98</v>
      </c>
      <c r="F27">
        <f t="shared" si="1"/>
        <v>0</v>
      </c>
      <c r="G27">
        <f t="shared" si="2"/>
        <v>258</v>
      </c>
      <c r="H27">
        <f t="shared" si="3"/>
        <v>275</v>
      </c>
      <c r="I27">
        <f t="shared" si="4"/>
        <v>0</v>
      </c>
      <c r="J27">
        <f t="shared" si="5"/>
        <v>0</v>
      </c>
    </row>
    <row r="28" spans="1:10" x14ac:dyDescent="0.25">
      <c r="A28" s="6">
        <v>43978</v>
      </c>
      <c r="B28" s="2">
        <v>298</v>
      </c>
      <c r="C28" s="2">
        <v>263</v>
      </c>
      <c r="D28" s="3">
        <v>145</v>
      </c>
      <c r="E28" s="14">
        <f t="shared" si="0"/>
        <v>0</v>
      </c>
      <c r="F28">
        <f t="shared" si="1"/>
        <v>263</v>
      </c>
      <c r="G28">
        <f t="shared" si="2"/>
        <v>7</v>
      </c>
      <c r="H28">
        <f t="shared" si="3"/>
        <v>0</v>
      </c>
      <c r="I28">
        <f t="shared" si="4"/>
        <v>396</v>
      </c>
      <c r="J28">
        <f t="shared" si="5"/>
        <v>0</v>
      </c>
    </row>
    <row r="29" spans="1:10" x14ac:dyDescent="0.25">
      <c r="A29" s="7">
        <v>43979</v>
      </c>
      <c r="B29" s="4">
        <v>254</v>
      </c>
      <c r="C29" s="4">
        <v>241</v>
      </c>
      <c r="D29" s="5">
        <v>149</v>
      </c>
      <c r="E29" s="14">
        <f t="shared" si="0"/>
        <v>0</v>
      </c>
      <c r="F29">
        <f t="shared" si="1"/>
        <v>250</v>
      </c>
      <c r="G29">
        <f t="shared" si="2"/>
        <v>156</v>
      </c>
      <c r="H29">
        <f t="shared" si="3"/>
        <v>254</v>
      </c>
      <c r="I29">
        <f t="shared" si="4"/>
        <v>0</v>
      </c>
      <c r="J29">
        <f t="shared" si="5"/>
        <v>0</v>
      </c>
    </row>
    <row r="30" spans="1:10" x14ac:dyDescent="0.25">
      <c r="A30" s="6">
        <v>43980</v>
      </c>
      <c r="B30" s="2">
        <v>329</v>
      </c>
      <c r="C30" s="2">
        <v>323</v>
      </c>
      <c r="D30" s="3">
        <v>134</v>
      </c>
      <c r="E30" s="14">
        <f t="shared" si="0"/>
        <v>0</v>
      </c>
      <c r="F30">
        <f t="shared" si="1"/>
        <v>244</v>
      </c>
      <c r="G30">
        <f t="shared" si="2"/>
        <v>290</v>
      </c>
      <c r="H30">
        <f t="shared" si="3"/>
        <v>329</v>
      </c>
      <c r="I30">
        <f t="shared" si="4"/>
        <v>0</v>
      </c>
      <c r="J30">
        <f t="shared" si="5"/>
        <v>0</v>
      </c>
    </row>
    <row r="31" spans="1:10" x14ac:dyDescent="0.25">
      <c r="A31" s="7">
        <v>43981</v>
      </c>
      <c r="B31" s="4">
        <v>213</v>
      </c>
      <c r="C31" s="4">
        <v>221</v>
      </c>
      <c r="D31" s="5">
        <v>119</v>
      </c>
      <c r="E31" s="14">
        <f t="shared" si="0"/>
        <v>213</v>
      </c>
      <c r="F31">
        <f t="shared" si="1"/>
        <v>56</v>
      </c>
      <c r="G31">
        <f t="shared" si="2"/>
        <v>0</v>
      </c>
      <c r="H31">
        <f t="shared" si="3"/>
        <v>0</v>
      </c>
      <c r="I31">
        <f t="shared" si="4"/>
        <v>0</v>
      </c>
      <c r="J31">
        <f t="shared" si="5"/>
        <v>409</v>
      </c>
    </row>
    <row r="32" spans="1:10" x14ac:dyDescent="0.25">
      <c r="A32" s="6">
        <v>43982</v>
      </c>
      <c r="B32" s="2">
        <v>294</v>
      </c>
      <c r="C32" s="2">
        <v>326</v>
      </c>
      <c r="D32" s="3">
        <v>145</v>
      </c>
      <c r="E32" s="14">
        <f t="shared" si="0"/>
        <v>125</v>
      </c>
      <c r="F32">
        <f t="shared" si="1"/>
        <v>0</v>
      </c>
      <c r="G32">
        <f t="shared" si="2"/>
        <v>145</v>
      </c>
      <c r="H32">
        <f t="shared" si="3"/>
        <v>382</v>
      </c>
      <c r="I32">
        <f t="shared" si="4"/>
        <v>0</v>
      </c>
      <c r="J32">
        <f t="shared" si="5"/>
        <v>0</v>
      </c>
    </row>
    <row r="33" spans="1:10" x14ac:dyDescent="0.25">
      <c r="A33" s="7">
        <v>43983</v>
      </c>
      <c r="B33" s="4">
        <v>225</v>
      </c>
      <c r="C33" s="4">
        <v>206</v>
      </c>
      <c r="D33" s="5">
        <v>122</v>
      </c>
      <c r="E33" s="14">
        <f t="shared" si="0"/>
        <v>83</v>
      </c>
      <c r="F33">
        <f t="shared" si="1"/>
        <v>206</v>
      </c>
      <c r="G33">
        <f t="shared" si="2"/>
        <v>0</v>
      </c>
      <c r="H33">
        <f t="shared" si="3"/>
        <v>0</v>
      </c>
      <c r="I33">
        <f t="shared" si="4"/>
        <v>267</v>
      </c>
      <c r="J33">
        <f t="shared" si="5"/>
        <v>0</v>
      </c>
    </row>
    <row r="34" spans="1:10" x14ac:dyDescent="0.25">
      <c r="A34" s="6">
        <v>43984</v>
      </c>
      <c r="B34" s="2">
        <v>264</v>
      </c>
      <c r="C34" s="2">
        <v>355</v>
      </c>
      <c r="D34" s="3">
        <v>134</v>
      </c>
      <c r="E34" s="14">
        <f t="shared" si="0"/>
        <v>0</v>
      </c>
      <c r="F34">
        <f t="shared" si="1"/>
        <v>214</v>
      </c>
      <c r="G34">
        <f t="shared" si="2"/>
        <v>134</v>
      </c>
      <c r="H34">
        <f t="shared" si="3"/>
        <v>347</v>
      </c>
      <c r="I34">
        <f t="shared" si="4"/>
        <v>0</v>
      </c>
      <c r="J34">
        <f t="shared" si="5"/>
        <v>0</v>
      </c>
    </row>
    <row r="35" spans="1:10" x14ac:dyDescent="0.25">
      <c r="A35" s="7">
        <v>43985</v>
      </c>
      <c r="B35" s="4">
        <v>253</v>
      </c>
      <c r="C35" s="4">
        <v>271</v>
      </c>
      <c r="D35" s="5">
        <v>142</v>
      </c>
      <c r="E35" s="14">
        <f t="shared" si="0"/>
        <v>253</v>
      </c>
      <c r="F35">
        <f t="shared" si="1"/>
        <v>209</v>
      </c>
      <c r="G35">
        <f t="shared" si="2"/>
        <v>0</v>
      </c>
      <c r="H35">
        <f t="shared" si="3"/>
        <v>0</v>
      </c>
      <c r="I35">
        <f t="shared" si="4"/>
        <v>0</v>
      </c>
      <c r="J35">
        <f t="shared" si="5"/>
        <v>276</v>
      </c>
    </row>
    <row r="36" spans="1:10" x14ac:dyDescent="0.25">
      <c r="A36" s="6">
        <v>43986</v>
      </c>
      <c r="B36" s="2">
        <v>352</v>
      </c>
      <c r="C36" s="2">
        <v>207</v>
      </c>
      <c r="D36" s="3">
        <v>125</v>
      </c>
      <c r="E36" s="14">
        <f t="shared" si="0"/>
        <v>189</v>
      </c>
      <c r="F36">
        <f t="shared" si="1"/>
        <v>0</v>
      </c>
      <c r="G36">
        <f t="shared" si="2"/>
        <v>125</v>
      </c>
      <c r="H36">
        <f t="shared" si="3"/>
        <v>416</v>
      </c>
      <c r="I36">
        <f t="shared" si="4"/>
        <v>0</v>
      </c>
      <c r="J36">
        <f t="shared" si="5"/>
        <v>0</v>
      </c>
    </row>
    <row r="37" spans="1:10" x14ac:dyDescent="0.25">
      <c r="A37" s="7">
        <v>43987</v>
      </c>
      <c r="B37" s="4">
        <v>269</v>
      </c>
      <c r="C37" s="4">
        <v>248</v>
      </c>
      <c r="D37" s="5">
        <v>137</v>
      </c>
      <c r="E37" s="14">
        <f t="shared" si="0"/>
        <v>196</v>
      </c>
      <c r="F37">
        <f t="shared" si="1"/>
        <v>248</v>
      </c>
      <c r="G37">
        <f t="shared" si="2"/>
        <v>0</v>
      </c>
      <c r="H37">
        <f t="shared" si="3"/>
        <v>0</v>
      </c>
      <c r="I37">
        <f t="shared" si="4"/>
        <v>262</v>
      </c>
      <c r="J37">
        <f t="shared" si="5"/>
        <v>0</v>
      </c>
    </row>
    <row r="38" spans="1:10" x14ac:dyDescent="0.25">
      <c r="A38" s="6">
        <v>43988</v>
      </c>
      <c r="B38" s="2">
        <v>242</v>
      </c>
      <c r="C38" s="2">
        <v>247</v>
      </c>
      <c r="D38" s="3">
        <v>125</v>
      </c>
      <c r="E38" s="14">
        <f t="shared" si="0"/>
        <v>0</v>
      </c>
      <c r="F38">
        <f t="shared" si="1"/>
        <v>57</v>
      </c>
      <c r="G38">
        <f t="shared" si="2"/>
        <v>125</v>
      </c>
      <c r="H38">
        <f t="shared" si="3"/>
        <v>438</v>
      </c>
      <c r="I38">
        <f t="shared" si="4"/>
        <v>0</v>
      </c>
      <c r="J38">
        <f t="shared" si="5"/>
        <v>0</v>
      </c>
    </row>
    <row r="39" spans="1:10" x14ac:dyDescent="0.25">
      <c r="A39" s="7">
        <v>43989</v>
      </c>
      <c r="B39" s="4">
        <v>327</v>
      </c>
      <c r="C39" s="4">
        <v>262</v>
      </c>
      <c r="D39" s="5">
        <v>103</v>
      </c>
      <c r="E39" s="14">
        <f t="shared" si="0"/>
        <v>8</v>
      </c>
      <c r="F39">
        <f t="shared" si="1"/>
        <v>0</v>
      </c>
      <c r="G39">
        <f t="shared" si="2"/>
        <v>228</v>
      </c>
      <c r="H39">
        <f t="shared" si="3"/>
        <v>319</v>
      </c>
      <c r="I39">
        <f t="shared" si="4"/>
        <v>0</v>
      </c>
      <c r="J39">
        <f t="shared" si="5"/>
        <v>0</v>
      </c>
    </row>
    <row r="40" spans="1:10" x14ac:dyDescent="0.25">
      <c r="A40" s="6">
        <v>43990</v>
      </c>
      <c r="B40" s="2">
        <v>316</v>
      </c>
      <c r="C40" s="2">
        <v>253</v>
      </c>
      <c r="D40" s="3">
        <v>134</v>
      </c>
      <c r="E40" s="14">
        <f t="shared" si="0"/>
        <v>0</v>
      </c>
      <c r="F40">
        <f t="shared" si="1"/>
        <v>253</v>
      </c>
      <c r="G40">
        <f t="shared" si="2"/>
        <v>38</v>
      </c>
      <c r="H40">
        <f t="shared" si="3"/>
        <v>0</v>
      </c>
      <c r="I40">
        <f t="shared" si="4"/>
        <v>324</v>
      </c>
      <c r="J40">
        <f t="shared" si="5"/>
        <v>0</v>
      </c>
    </row>
    <row r="41" spans="1:10" x14ac:dyDescent="0.25">
      <c r="A41" s="7">
        <v>43991</v>
      </c>
      <c r="B41" s="4">
        <v>294</v>
      </c>
      <c r="C41" s="4">
        <v>249</v>
      </c>
      <c r="D41" s="5">
        <v>137</v>
      </c>
      <c r="E41" s="14">
        <f t="shared" si="0"/>
        <v>0</v>
      </c>
      <c r="F41">
        <f t="shared" si="1"/>
        <v>208</v>
      </c>
      <c r="G41">
        <f t="shared" si="2"/>
        <v>175</v>
      </c>
      <c r="H41">
        <f t="shared" si="3"/>
        <v>294</v>
      </c>
      <c r="I41">
        <f t="shared" si="4"/>
        <v>0</v>
      </c>
      <c r="J41">
        <f t="shared" si="5"/>
        <v>0</v>
      </c>
    </row>
    <row r="42" spans="1:10" x14ac:dyDescent="0.25">
      <c r="A42" s="6">
        <v>43992</v>
      </c>
      <c r="B42" s="2">
        <v>270</v>
      </c>
      <c r="C42" s="2">
        <v>206</v>
      </c>
      <c r="D42" s="3">
        <v>146</v>
      </c>
      <c r="E42" s="14">
        <f t="shared" si="0"/>
        <v>270</v>
      </c>
      <c r="F42">
        <f t="shared" si="1"/>
        <v>93</v>
      </c>
      <c r="G42">
        <f t="shared" si="2"/>
        <v>0</v>
      </c>
      <c r="H42">
        <f t="shared" si="3"/>
        <v>0</v>
      </c>
      <c r="I42">
        <f t="shared" si="4"/>
        <v>0</v>
      </c>
      <c r="J42">
        <f t="shared" si="5"/>
        <v>321</v>
      </c>
    </row>
    <row r="43" spans="1:10" x14ac:dyDescent="0.25">
      <c r="A43" s="7">
        <v>43993</v>
      </c>
      <c r="B43" s="4">
        <v>349</v>
      </c>
      <c r="C43" s="4">
        <v>301</v>
      </c>
      <c r="D43" s="5">
        <v>138</v>
      </c>
      <c r="E43" s="14">
        <f t="shared" si="0"/>
        <v>225</v>
      </c>
      <c r="F43">
        <f t="shared" si="1"/>
        <v>0</v>
      </c>
      <c r="G43">
        <f t="shared" si="2"/>
        <v>138</v>
      </c>
      <c r="H43">
        <f t="shared" si="3"/>
        <v>394</v>
      </c>
      <c r="I43">
        <f t="shared" si="4"/>
        <v>0</v>
      </c>
      <c r="J43">
        <f t="shared" si="5"/>
        <v>0</v>
      </c>
    </row>
    <row r="44" spans="1:10" x14ac:dyDescent="0.25">
      <c r="A44" s="6">
        <v>43994</v>
      </c>
      <c r="B44" s="2">
        <v>224</v>
      </c>
      <c r="C44" s="2">
        <v>385</v>
      </c>
      <c r="D44" s="3">
        <v>138</v>
      </c>
      <c r="E44" s="14">
        <f t="shared" si="0"/>
        <v>64</v>
      </c>
      <c r="F44">
        <f t="shared" si="1"/>
        <v>0</v>
      </c>
      <c r="G44">
        <f t="shared" si="2"/>
        <v>276</v>
      </c>
      <c r="H44">
        <f t="shared" si="3"/>
        <v>385</v>
      </c>
      <c r="I44">
        <f t="shared" si="4"/>
        <v>0</v>
      </c>
      <c r="J44">
        <f t="shared" si="5"/>
        <v>0</v>
      </c>
    </row>
    <row r="45" spans="1:10" x14ac:dyDescent="0.25">
      <c r="A45" s="7">
        <v>43995</v>
      </c>
      <c r="B45" s="4">
        <v>309</v>
      </c>
      <c r="C45" s="4">
        <v>204</v>
      </c>
      <c r="D45" s="5">
        <v>140</v>
      </c>
      <c r="E45" s="14">
        <f t="shared" si="0"/>
        <v>0</v>
      </c>
      <c r="F45">
        <f t="shared" si="1"/>
        <v>204</v>
      </c>
      <c r="G45">
        <f t="shared" si="2"/>
        <v>43</v>
      </c>
      <c r="H45">
        <f t="shared" si="3"/>
        <v>0</v>
      </c>
      <c r="I45">
        <f t="shared" si="4"/>
        <v>373</v>
      </c>
      <c r="J45">
        <f t="shared" si="5"/>
        <v>0</v>
      </c>
    </row>
    <row r="46" spans="1:10" x14ac:dyDescent="0.25">
      <c r="A46" s="6">
        <v>43996</v>
      </c>
      <c r="B46" s="2">
        <v>246</v>
      </c>
      <c r="C46" s="2">
        <v>275</v>
      </c>
      <c r="D46" s="3">
        <v>130</v>
      </c>
      <c r="E46" s="14">
        <f t="shared" si="0"/>
        <v>0</v>
      </c>
      <c r="F46">
        <f t="shared" si="1"/>
        <v>233</v>
      </c>
      <c r="G46">
        <f t="shared" si="2"/>
        <v>173</v>
      </c>
      <c r="H46">
        <f t="shared" si="3"/>
        <v>246</v>
      </c>
      <c r="I46">
        <f t="shared" si="4"/>
        <v>0</v>
      </c>
      <c r="J46">
        <f t="shared" si="5"/>
        <v>0</v>
      </c>
    </row>
    <row r="47" spans="1:10" x14ac:dyDescent="0.25">
      <c r="A47" s="7">
        <v>43997</v>
      </c>
      <c r="B47" s="4">
        <v>241</v>
      </c>
      <c r="C47" s="4">
        <v>247</v>
      </c>
      <c r="D47" s="5">
        <v>166</v>
      </c>
      <c r="E47" s="14">
        <f t="shared" si="0"/>
        <v>241</v>
      </c>
      <c r="F47">
        <f t="shared" si="1"/>
        <v>141</v>
      </c>
      <c r="G47">
        <f t="shared" si="2"/>
        <v>0</v>
      </c>
      <c r="H47">
        <f t="shared" si="3"/>
        <v>0</v>
      </c>
      <c r="I47">
        <f t="shared" si="4"/>
        <v>0</v>
      </c>
      <c r="J47">
        <f t="shared" si="5"/>
        <v>339</v>
      </c>
    </row>
    <row r="48" spans="1:10" x14ac:dyDescent="0.25">
      <c r="A48" s="6">
        <v>43998</v>
      </c>
      <c r="B48" s="2">
        <v>365</v>
      </c>
      <c r="C48" s="2">
        <v>256</v>
      </c>
      <c r="D48" s="3">
        <v>132</v>
      </c>
      <c r="E48" s="14">
        <f t="shared" si="0"/>
        <v>209</v>
      </c>
      <c r="F48">
        <f t="shared" si="1"/>
        <v>0</v>
      </c>
      <c r="G48">
        <f t="shared" si="2"/>
        <v>132</v>
      </c>
      <c r="H48">
        <f t="shared" si="3"/>
        <v>397</v>
      </c>
      <c r="I48">
        <f t="shared" si="4"/>
        <v>0</v>
      </c>
      <c r="J48">
        <f t="shared" si="5"/>
        <v>0</v>
      </c>
    </row>
    <row r="49" spans="1:10" x14ac:dyDescent="0.25">
      <c r="A49" s="7">
        <v>43999</v>
      </c>
      <c r="B49" s="4">
        <v>225</v>
      </c>
      <c r="C49" s="4">
        <v>392</v>
      </c>
      <c r="D49" s="5">
        <v>158</v>
      </c>
      <c r="E49" s="14">
        <f t="shared" si="0"/>
        <v>42</v>
      </c>
      <c r="F49">
        <f t="shared" si="1"/>
        <v>0</v>
      </c>
      <c r="G49">
        <f t="shared" si="2"/>
        <v>290</v>
      </c>
      <c r="H49">
        <f t="shared" si="3"/>
        <v>392</v>
      </c>
      <c r="I49">
        <f t="shared" si="4"/>
        <v>0</v>
      </c>
      <c r="J49">
        <f t="shared" si="5"/>
        <v>0</v>
      </c>
    </row>
    <row r="50" spans="1:10" x14ac:dyDescent="0.25">
      <c r="A50" s="6">
        <v>44000</v>
      </c>
      <c r="B50" s="2">
        <v>335</v>
      </c>
      <c r="C50" s="2">
        <v>254</v>
      </c>
      <c r="D50" s="3">
        <v>173</v>
      </c>
      <c r="E50" s="14">
        <f t="shared" si="0"/>
        <v>0</v>
      </c>
      <c r="F50">
        <f t="shared" si="1"/>
        <v>254</v>
      </c>
      <c r="G50">
        <f t="shared" si="2"/>
        <v>86</v>
      </c>
      <c r="H50">
        <f t="shared" si="3"/>
        <v>0</v>
      </c>
      <c r="I50">
        <f t="shared" si="4"/>
        <v>377</v>
      </c>
      <c r="J50">
        <f t="shared" si="5"/>
        <v>0</v>
      </c>
    </row>
    <row r="51" spans="1:10" x14ac:dyDescent="0.25">
      <c r="A51" s="7">
        <v>44001</v>
      </c>
      <c r="B51" s="4">
        <v>376</v>
      </c>
      <c r="C51" s="4">
        <v>258</v>
      </c>
      <c r="D51" s="5">
        <v>151</v>
      </c>
      <c r="E51" s="14">
        <f t="shared" si="0"/>
        <v>0</v>
      </c>
      <c r="F51">
        <f t="shared" si="1"/>
        <v>136</v>
      </c>
      <c r="G51">
        <f t="shared" si="2"/>
        <v>237</v>
      </c>
      <c r="H51">
        <f t="shared" si="3"/>
        <v>376</v>
      </c>
      <c r="I51">
        <f t="shared" si="4"/>
        <v>0</v>
      </c>
      <c r="J51">
        <f t="shared" si="5"/>
        <v>0</v>
      </c>
    </row>
    <row r="52" spans="1:10" x14ac:dyDescent="0.25">
      <c r="A52" s="6">
        <v>44002</v>
      </c>
      <c r="B52" s="2">
        <v>310</v>
      </c>
      <c r="C52" s="2">
        <v>248</v>
      </c>
      <c r="D52" s="3">
        <v>173</v>
      </c>
      <c r="E52" s="14">
        <f t="shared" si="0"/>
        <v>310</v>
      </c>
      <c r="F52">
        <f t="shared" si="1"/>
        <v>0</v>
      </c>
      <c r="G52">
        <f t="shared" si="2"/>
        <v>26</v>
      </c>
      <c r="H52">
        <f t="shared" si="3"/>
        <v>0</v>
      </c>
      <c r="I52">
        <f t="shared" si="4"/>
        <v>0</v>
      </c>
      <c r="J52">
        <f t="shared" si="5"/>
        <v>384</v>
      </c>
    </row>
    <row r="53" spans="1:10" x14ac:dyDescent="0.25">
      <c r="A53" s="7">
        <v>44003</v>
      </c>
      <c r="B53" s="4">
        <v>408</v>
      </c>
      <c r="C53" s="4">
        <v>250</v>
      </c>
      <c r="D53" s="5">
        <v>242</v>
      </c>
      <c r="E53" s="14">
        <f t="shared" si="0"/>
        <v>450</v>
      </c>
      <c r="F53">
        <f t="shared" si="1"/>
        <v>250</v>
      </c>
      <c r="G53">
        <f t="shared" si="2"/>
        <v>0</v>
      </c>
      <c r="H53">
        <f t="shared" si="3"/>
        <v>0</v>
      </c>
      <c r="I53">
        <f t="shared" si="4"/>
        <v>268</v>
      </c>
      <c r="J53">
        <f t="shared" si="5"/>
        <v>0</v>
      </c>
    </row>
    <row r="54" spans="1:10" x14ac:dyDescent="0.25">
      <c r="A54" s="6">
        <v>44004</v>
      </c>
      <c r="B54" s="2">
        <v>256</v>
      </c>
      <c r="C54" s="2">
        <v>393</v>
      </c>
      <c r="D54" s="3">
        <v>219</v>
      </c>
      <c r="E54" s="14">
        <f t="shared" si="0"/>
        <v>63</v>
      </c>
      <c r="F54">
        <f t="shared" si="1"/>
        <v>0</v>
      </c>
      <c r="G54">
        <f t="shared" si="2"/>
        <v>219</v>
      </c>
      <c r="H54">
        <f t="shared" si="3"/>
        <v>643</v>
      </c>
      <c r="I54">
        <f t="shared" si="4"/>
        <v>0</v>
      </c>
      <c r="J54">
        <f t="shared" si="5"/>
        <v>0</v>
      </c>
    </row>
    <row r="55" spans="1:10" x14ac:dyDescent="0.25">
      <c r="A55" s="7">
        <v>44005</v>
      </c>
      <c r="B55" s="4">
        <v>322</v>
      </c>
      <c r="C55" s="4">
        <v>425</v>
      </c>
      <c r="D55" s="5">
        <v>215</v>
      </c>
      <c r="E55" s="14">
        <f t="shared" si="0"/>
        <v>385</v>
      </c>
      <c r="F55">
        <f t="shared" si="1"/>
        <v>0</v>
      </c>
      <c r="G55">
        <f t="shared" si="2"/>
        <v>9</v>
      </c>
      <c r="H55">
        <f t="shared" si="3"/>
        <v>0</v>
      </c>
      <c r="I55">
        <f t="shared" si="4"/>
        <v>0</v>
      </c>
      <c r="J55">
        <f t="shared" si="5"/>
        <v>425</v>
      </c>
    </row>
    <row r="56" spans="1:10" x14ac:dyDescent="0.25">
      <c r="A56" s="6">
        <v>44006</v>
      </c>
      <c r="B56" s="2">
        <v>447</v>
      </c>
      <c r="C56" s="2">
        <v>385</v>
      </c>
      <c r="D56" s="3">
        <v>212</v>
      </c>
      <c r="E56" s="14">
        <f t="shared" si="0"/>
        <v>447</v>
      </c>
      <c r="F56">
        <f t="shared" si="1"/>
        <v>0</v>
      </c>
      <c r="G56">
        <f t="shared" si="2"/>
        <v>221</v>
      </c>
      <c r="H56">
        <f t="shared" si="3"/>
        <v>385</v>
      </c>
      <c r="I56">
        <f t="shared" si="4"/>
        <v>0</v>
      </c>
      <c r="J56">
        <f t="shared" si="5"/>
        <v>0</v>
      </c>
    </row>
    <row r="57" spans="1:10" x14ac:dyDescent="0.25">
      <c r="A57" s="7">
        <v>44007</v>
      </c>
      <c r="B57" s="4">
        <v>408</v>
      </c>
      <c r="C57" s="4">
        <v>260</v>
      </c>
      <c r="D57" s="5">
        <v>225</v>
      </c>
      <c r="E57" s="14">
        <f t="shared" si="0"/>
        <v>409</v>
      </c>
      <c r="F57">
        <f t="shared" si="1"/>
        <v>260</v>
      </c>
      <c r="G57">
        <f t="shared" si="2"/>
        <v>0</v>
      </c>
      <c r="H57">
        <f t="shared" si="3"/>
        <v>0</v>
      </c>
      <c r="I57">
        <f t="shared" si="4"/>
        <v>446</v>
      </c>
      <c r="J57">
        <f t="shared" si="5"/>
        <v>0</v>
      </c>
    </row>
    <row r="58" spans="1:10" x14ac:dyDescent="0.25">
      <c r="A58" s="6">
        <v>44008</v>
      </c>
      <c r="B58" s="2">
        <v>283</v>
      </c>
      <c r="C58" s="2">
        <v>396</v>
      </c>
      <c r="D58" s="3">
        <v>221</v>
      </c>
      <c r="E58" s="14">
        <f t="shared" si="0"/>
        <v>36</v>
      </c>
      <c r="F58">
        <f t="shared" si="1"/>
        <v>0</v>
      </c>
      <c r="G58">
        <f t="shared" si="2"/>
        <v>221</v>
      </c>
      <c r="H58">
        <f t="shared" si="3"/>
        <v>656</v>
      </c>
      <c r="I58">
        <f t="shared" si="4"/>
        <v>0</v>
      </c>
      <c r="J58">
        <f t="shared" si="5"/>
        <v>0</v>
      </c>
    </row>
    <row r="59" spans="1:10" x14ac:dyDescent="0.25">
      <c r="A59" s="7">
        <v>44009</v>
      </c>
      <c r="B59" s="4">
        <v>414</v>
      </c>
      <c r="C59" s="4">
        <v>314</v>
      </c>
      <c r="D59" s="5">
        <v>220</v>
      </c>
      <c r="E59" s="14">
        <f t="shared" si="0"/>
        <v>9</v>
      </c>
      <c r="F59">
        <f t="shared" si="1"/>
        <v>314</v>
      </c>
      <c r="G59">
        <f t="shared" si="2"/>
        <v>0</v>
      </c>
      <c r="H59">
        <f t="shared" si="3"/>
        <v>0</v>
      </c>
      <c r="I59">
        <f t="shared" si="4"/>
        <v>441</v>
      </c>
      <c r="J59">
        <f t="shared" si="5"/>
        <v>0</v>
      </c>
    </row>
    <row r="60" spans="1:10" x14ac:dyDescent="0.25">
      <c r="A60" s="6">
        <v>44010</v>
      </c>
      <c r="B60" s="2">
        <v>442</v>
      </c>
      <c r="C60" s="2">
        <v>449</v>
      </c>
      <c r="D60" s="3">
        <v>245</v>
      </c>
      <c r="E60" s="14">
        <f t="shared" si="0"/>
        <v>0</v>
      </c>
      <c r="F60">
        <f t="shared" si="1"/>
        <v>312</v>
      </c>
      <c r="G60">
        <f t="shared" si="2"/>
        <v>245</v>
      </c>
      <c r="H60">
        <f t="shared" si="3"/>
        <v>451</v>
      </c>
      <c r="I60">
        <f t="shared" si="4"/>
        <v>0</v>
      </c>
      <c r="J60">
        <f t="shared" si="5"/>
        <v>0</v>
      </c>
    </row>
    <row r="61" spans="1:10" x14ac:dyDescent="0.25">
      <c r="A61" s="7">
        <v>44011</v>
      </c>
      <c r="B61" s="4">
        <v>269</v>
      </c>
      <c r="C61" s="4">
        <v>370</v>
      </c>
      <c r="D61" s="5">
        <v>242</v>
      </c>
      <c r="E61" s="14">
        <f t="shared" si="0"/>
        <v>269</v>
      </c>
      <c r="F61">
        <f t="shared" si="1"/>
        <v>195</v>
      </c>
      <c r="G61">
        <f t="shared" si="2"/>
        <v>0</v>
      </c>
      <c r="H61">
        <f t="shared" si="3"/>
        <v>0</v>
      </c>
      <c r="I61">
        <f t="shared" si="4"/>
        <v>0</v>
      </c>
      <c r="J61">
        <f t="shared" si="5"/>
        <v>487</v>
      </c>
    </row>
    <row r="62" spans="1:10" x14ac:dyDescent="0.25">
      <c r="A62" s="6">
        <v>44012</v>
      </c>
      <c r="B62" s="2">
        <v>444</v>
      </c>
      <c r="C62" s="2">
        <v>350</v>
      </c>
      <c r="D62" s="3">
        <v>236</v>
      </c>
      <c r="E62" s="14">
        <f t="shared" si="0"/>
        <v>168</v>
      </c>
      <c r="F62">
        <f t="shared" si="1"/>
        <v>0</v>
      </c>
      <c r="G62">
        <f t="shared" si="2"/>
        <v>236</v>
      </c>
      <c r="H62">
        <f t="shared" si="3"/>
        <v>545</v>
      </c>
      <c r="I62">
        <f t="shared" si="4"/>
        <v>0</v>
      </c>
      <c r="J62">
        <f t="shared" si="5"/>
        <v>0</v>
      </c>
    </row>
    <row r="63" spans="1:10" x14ac:dyDescent="0.25">
      <c r="A63" s="7">
        <v>44013</v>
      </c>
      <c r="B63" s="4">
        <v>425</v>
      </c>
      <c r="C63" s="4">
        <v>342</v>
      </c>
      <c r="D63" s="5">
        <v>237</v>
      </c>
      <c r="E63" s="14">
        <f t="shared" si="0"/>
        <v>120</v>
      </c>
      <c r="F63">
        <f t="shared" si="1"/>
        <v>342</v>
      </c>
      <c r="G63">
        <f t="shared" si="2"/>
        <v>0</v>
      </c>
      <c r="H63">
        <f t="shared" si="3"/>
        <v>0</v>
      </c>
      <c r="I63">
        <f t="shared" si="4"/>
        <v>473</v>
      </c>
      <c r="J63">
        <f t="shared" si="5"/>
        <v>0</v>
      </c>
    </row>
    <row r="64" spans="1:10" x14ac:dyDescent="0.25">
      <c r="A64" s="6">
        <v>44014</v>
      </c>
      <c r="B64" s="2">
        <v>377</v>
      </c>
      <c r="C64" s="2">
        <v>290</v>
      </c>
      <c r="D64" s="3">
        <v>240</v>
      </c>
      <c r="E64" s="14">
        <f t="shared" si="0"/>
        <v>0</v>
      </c>
      <c r="F64">
        <f t="shared" si="1"/>
        <v>135</v>
      </c>
      <c r="G64">
        <f t="shared" si="2"/>
        <v>240</v>
      </c>
      <c r="H64">
        <f t="shared" si="3"/>
        <v>497</v>
      </c>
      <c r="I64">
        <f t="shared" si="4"/>
        <v>0</v>
      </c>
      <c r="J64">
        <f t="shared" si="5"/>
        <v>0</v>
      </c>
    </row>
    <row r="65" spans="1:10" x14ac:dyDescent="0.25">
      <c r="A65" s="7">
        <v>44015</v>
      </c>
      <c r="B65" s="4">
        <v>382</v>
      </c>
      <c r="C65" s="4">
        <v>360</v>
      </c>
      <c r="D65" s="5">
        <v>203</v>
      </c>
      <c r="E65" s="14">
        <f t="shared" si="0"/>
        <v>382</v>
      </c>
      <c r="F65">
        <f t="shared" si="1"/>
        <v>52</v>
      </c>
      <c r="G65">
        <f t="shared" si="2"/>
        <v>0</v>
      </c>
      <c r="H65">
        <f t="shared" si="3"/>
        <v>0</v>
      </c>
      <c r="I65">
        <f t="shared" si="4"/>
        <v>0</v>
      </c>
      <c r="J65">
        <f t="shared" si="5"/>
        <v>443</v>
      </c>
    </row>
    <row r="66" spans="1:10" x14ac:dyDescent="0.25">
      <c r="A66" s="6">
        <v>44016</v>
      </c>
      <c r="B66" s="2">
        <v>287</v>
      </c>
      <c r="C66" s="2">
        <v>428</v>
      </c>
      <c r="D66" s="3">
        <v>204</v>
      </c>
      <c r="E66" s="14">
        <f t="shared" si="0"/>
        <v>189</v>
      </c>
      <c r="F66">
        <f t="shared" si="1"/>
        <v>0</v>
      </c>
      <c r="G66">
        <f t="shared" si="2"/>
        <v>204</v>
      </c>
      <c r="H66">
        <f t="shared" si="3"/>
        <v>480</v>
      </c>
      <c r="I66">
        <f t="shared" si="4"/>
        <v>0</v>
      </c>
      <c r="J66">
        <f t="shared" si="5"/>
        <v>0</v>
      </c>
    </row>
    <row r="67" spans="1:10" x14ac:dyDescent="0.25">
      <c r="A67" s="7">
        <v>44017</v>
      </c>
      <c r="B67" s="4">
        <v>429</v>
      </c>
      <c r="C67" s="4">
        <v>394</v>
      </c>
      <c r="D67" s="5">
        <v>246</v>
      </c>
      <c r="E67" s="14">
        <f t="shared" si="0"/>
        <v>168</v>
      </c>
      <c r="F67">
        <f t="shared" si="1"/>
        <v>394</v>
      </c>
      <c r="G67">
        <f t="shared" si="2"/>
        <v>0</v>
      </c>
      <c r="H67">
        <f t="shared" si="3"/>
        <v>0</v>
      </c>
      <c r="I67">
        <f t="shared" si="4"/>
        <v>450</v>
      </c>
      <c r="J67">
        <f t="shared" si="5"/>
        <v>0</v>
      </c>
    </row>
    <row r="68" spans="1:10" x14ac:dyDescent="0.25">
      <c r="A68" s="6">
        <v>44018</v>
      </c>
      <c r="B68" s="2">
        <v>287</v>
      </c>
      <c r="C68" s="2">
        <v>356</v>
      </c>
      <c r="D68" s="3">
        <v>233</v>
      </c>
      <c r="E68" s="14">
        <f t="shared" ref="E68:E131" si="6">B68+E67-H68-I68</f>
        <v>0</v>
      </c>
      <c r="F68">
        <f t="shared" ref="F68:F131" si="7">C68-H68-J68+F67</f>
        <v>295</v>
      </c>
      <c r="G68">
        <f t="shared" ref="G68:G131" si="8">D68-I68-J68+G67</f>
        <v>233</v>
      </c>
      <c r="H68">
        <f t="shared" ref="H68:H131" si="9">IF(AND(C68+F67&gt;D68+G67,B68+E67&gt;D68+G67),MIN(B68+E67,C68+F67),0)</f>
        <v>455</v>
      </c>
      <c r="I68">
        <f t="shared" ref="I68:I131" si="10">IF(AND(D68+G67&gt;C68+F67,B68+E67&gt;F67+C68),MIN(B68+E67,D68+G67),0)</f>
        <v>0</v>
      </c>
      <c r="J68">
        <f t="shared" ref="J68:J131" si="11">IF(AND(D68+G67&gt;B68+E67,F67+C68&gt;B68+E67),MIN(F67+C68,D68+G67),0)</f>
        <v>0</v>
      </c>
    </row>
    <row r="69" spans="1:10" x14ac:dyDescent="0.25">
      <c r="A69" s="7">
        <v>44019</v>
      </c>
      <c r="B69" s="4">
        <v>421</v>
      </c>
      <c r="C69" s="4">
        <v>292</v>
      </c>
      <c r="D69" s="5">
        <v>226</v>
      </c>
      <c r="E69" s="14">
        <f t="shared" si="6"/>
        <v>421</v>
      </c>
      <c r="F69">
        <f t="shared" si="7"/>
        <v>128</v>
      </c>
      <c r="G69">
        <f t="shared" si="8"/>
        <v>0</v>
      </c>
      <c r="H69">
        <f t="shared" si="9"/>
        <v>0</v>
      </c>
      <c r="I69">
        <f t="shared" si="10"/>
        <v>0</v>
      </c>
      <c r="J69">
        <f t="shared" si="11"/>
        <v>459</v>
      </c>
    </row>
    <row r="70" spans="1:10" x14ac:dyDescent="0.25">
      <c r="A70" s="6">
        <v>44020</v>
      </c>
      <c r="B70" s="2">
        <v>334</v>
      </c>
      <c r="C70" s="2">
        <v>353</v>
      </c>
      <c r="D70" s="3">
        <v>282</v>
      </c>
      <c r="E70" s="14">
        <f t="shared" si="6"/>
        <v>274</v>
      </c>
      <c r="F70">
        <f t="shared" si="7"/>
        <v>0</v>
      </c>
      <c r="G70">
        <f t="shared" si="8"/>
        <v>282</v>
      </c>
      <c r="H70">
        <f t="shared" si="9"/>
        <v>481</v>
      </c>
      <c r="I70">
        <f t="shared" si="10"/>
        <v>0</v>
      </c>
      <c r="J70">
        <f t="shared" si="11"/>
        <v>0</v>
      </c>
    </row>
    <row r="71" spans="1:10" x14ac:dyDescent="0.25">
      <c r="A71" s="7">
        <v>44021</v>
      </c>
      <c r="B71" s="4">
        <v>282</v>
      </c>
      <c r="C71" s="4">
        <v>329</v>
      </c>
      <c r="D71" s="5">
        <v>262</v>
      </c>
      <c r="E71" s="14">
        <f t="shared" si="6"/>
        <v>12</v>
      </c>
      <c r="F71">
        <f t="shared" si="7"/>
        <v>329</v>
      </c>
      <c r="G71">
        <f t="shared" si="8"/>
        <v>0</v>
      </c>
      <c r="H71">
        <f t="shared" si="9"/>
        <v>0</v>
      </c>
      <c r="I71">
        <f t="shared" si="10"/>
        <v>544</v>
      </c>
      <c r="J71">
        <f t="shared" si="11"/>
        <v>0</v>
      </c>
    </row>
    <row r="72" spans="1:10" x14ac:dyDescent="0.25">
      <c r="A72" s="6">
        <v>44022</v>
      </c>
      <c r="B72" s="2">
        <v>356</v>
      </c>
      <c r="C72" s="2">
        <v>331</v>
      </c>
      <c r="D72" s="3">
        <v>290</v>
      </c>
      <c r="E72" s="14">
        <f t="shared" si="6"/>
        <v>0</v>
      </c>
      <c r="F72">
        <f t="shared" si="7"/>
        <v>292</v>
      </c>
      <c r="G72">
        <f t="shared" si="8"/>
        <v>290</v>
      </c>
      <c r="H72">
        <f t="shared" si="9"/>
        <v>368</v>
      </c>
      <c r="I72">
        <f t="shared" si="10"/>
        <v>0</v>
      </c>
      <c r="J72">
        <f t="shared" si="11"/>
        <v>0</v>
      </c>
    </row>
    <row r="73" spans="1:10" x14ac:dyDescent="0.25">
      <c r="A73" s="7">
        <v>44023</v>
      </c>
      <c r="B73" s="4">
        <v>307</v>
      </c>
      <c r="C73" s="4">
        <v>394</v>
      </c>
      <c r="D73" s="5">
        <v>256</v>
      </c>
      <c r="E73" s="14">
        <f t="shared" si="6"/>
        <v>307</v>
      </c>
      <c r="F73">
        <f t="shared" si="7"/>
        <v>140</v>
      </c>
      <c r="G73">
        <f t="shared" si="8"/>
        <v>0</v>
      </c>
      <c r="H73">
        <f t="shared" si="9"/>
        <v>0</v>
      </c>
      <c r="I73">
        <f t="shared" si="10"/>
        <v>0</v>
      </c>
      <c r="J73">
        <f t="shared" si="11"/>
        <v>546</v>
      </c>
    </row>
    <row r="74" spans="1:10" x14ac:dyDescent="0.25">
      <c r="A74" s="6">
        <v>44024</v>
      </c>
      <c r="B74" s="2">
        <v>441</v>
      </c>
      <c r="C74" s="2">
        <v>271</v>
      </c>
      <c r="D74" s="3">
        <v>292</v>
      </c>
      <c r="E74" s="14">
        <f t="shared" si="6"/>
        <v>337</v>
      </c>
      <c r="F74">
        <f t="shared" si="7"/>
        <v>0</v>
      </c>
      <c r="G74">
        <f t="shared" si="8"/>
        <v>292</v>
      </c>
      <c r="H74">
        <f t="shared" si="9"/>
        <v>411</v>
      </c>
      <c r="I74">
        <f t="shared" si="10"/>
        <v>0</v>
      </c>
      <c r="J74">
        <f t="shared" si="11"/>
        <v>0</v>
      </c>
    </row>
    <row r="75" spans="1:10" x14ac:dyDescent="0.25">
      <c r="A75" s="7">
        <v>44025</v>
      </c>
      <c r="B75" s="4">
        <v>407</v>
      </c>
      <c r="C75" s="4">
        <v>311</v>
      </c>
      <c r="D75" s="5">
        <v>280</v>
      </c>
      <c r="E75" s="14">
        <f t="shared" si="6"/>
        <v>172</v>
      </c>
      <c r="F75">
        <f t="shared" si="7"/>
        <v>311</v>
      </c>
      <c r="G75">
        <f t="shared" si="8"/>
        <v>0</v>
      </c>
      <c r="H75">
        <f t="shared" si="9"/>
        <v>0</v>
      </c>
      <c r="I75">
        <f t="shared" si="10"/>
        <v>572</v>
      </c>
      <c r="J75">
        <f t="shared" si="11"/>
        <v>0</v>
      </c>
    </row>
    <row r="76" spans="1:10" x14ac:dyDescent="0.25">
      <c r="A76" s="6">
        <v>44026</v>
      </c>
      <c r="B76" s="2">
        <v>480</v>
      </c>
      <c r="C76" s="2">
        <v>342</v>
      </c>
      <c r="D76" s="3">
        <v>292</v>
      </c>
      <c r="E76" s="14">
        <f t="shared" si="6"/>
        <v>0</v>
      </c>
      <c r="F76">
        <f t="shared" si="7"/>
        <v>1</v>
      </c>
      <c r="G76">
        <f t="shared" si="8"/>
        <v>292</v>
      </c>
      <c r="H76">
        <f t="shared" si="9"/>
        <v>652</v>
      </c>
      <c r="I76">
        <f t="shared" si="10"/>
        <v>0</v>
      </c>
      <c r="J76">
        <f t="shared" si="11"/>
        <v>0</v>
      </c>
    </row>
    <row r="77" spans="1:10" x14ac:dyDescent="0.25">
      <c r="A77" s="7">
        <v>44027</v>
      </c>
      <c r="B77" s="4">
        <v>494</v>
      </c>
      <c r="C77" s="4">
        <v>310</v>
      </c>
      <c r="D77" s="5">
        <v>275</v>
      </c>
      <c r="E77" s="14">
        <f t="shared" si="6"/>
        <v>0</v>
      </c>
      <c r="F77">
        <f t="shared" si="7"/>
        <v>311</v>
      </c>
      <c r="G77">
        <f t="shared" si="8"/>
        <v>73</v>
      </c>
      <c r="H77">
        <f t="shared" si="9"/>
        <v>0</v>
      </c>
      <c r="I77">
        <f t="shared" si="10"/>
        <v>494</v>
      </c>
      <c r="J77">
        <f t="shared" si="11"/>
        <v>0</v>
      </c>
    </row>
    <row r="78" spans="1:10" x14ac:dyDescent="0.25">
      <c r="A78" s="6">
        <v>44028</v>
      </c>
      <c r="B78" s="2">
        <v>493</v>
      </c>
      <c r="C78" s="2">
        <v>431</v>
      </c>
      <c r="D78" s="3">
        <v>283</v>
      </c>
      <c r="E78" s="14">
        <f t="shared" si="6"/>
        <v>0</v>
      </c>
      <c r="F78">
        <f t="shared" si="7"/>
        <v>249</v>
      </c>
      <c r="G78">
        <f t="shared" si="8"/>
        <v>356</v>
      </c>
      <c r="H78">
        <f t="shared" si="9"/>
        <v>493</v>
      </c>
      <c r="I78">
        <f t="shared" si="10"/>
        <v>0</v>
      </c>
      <c r="J78">
        <f t="shared" si="11"/>
        <v>0</v>
      </c>
    </row>
    <row r="79" spans="1:10" x14ac:dyDescent="0.25">
      <c r="A79" s="7">
        <v>44029</v>
      </c>
      <c r="B79" s="4">
        <v>302</v>
      </c>
      <c r="C79" s="4">
        <v>415</v>
      </c>
      <c r="D79" s="5">
        <v>297</v>
      </c>
      <c r="E79" s="14">
        <f t="shared" si="6"/>
        <v>302</v>
      </c>
      <c r="F79">
        <f t="shared" si="7"/>
        <v>11</v>
      </c>
      <c r="G79">
        <f t="shared" si="8"/>
        <v>0</v>
      </c>
      <c r="H79">
        <f t="shared" si="9"/>
        <v>0</v>
      </c>
      <c r="I79">
        <f t="shared" si="10"/>
        <v>0</v>
      </c>
      <c r="J79">
        <f t="shared" si="11"/>
        <v>653</v>
      </c>
    </row>
    <row r="80" spans="1:10" x14ac:dyDescent="0.25">
      <c r="A80" s="6">
        <v>44030</v>
      </c>
      <c r="B80" s="2">
        <v>331</v>
      </c>
      <c r="C80" s="2">
        <v>353</v>
      </c>
      <c r="D80" s="3">
        <v>373</v>
      </c>
      <c r="E80" s="14">
        <f t="shared" si="6"/>
        <v>260</v>
      </c>
      <c r="F80">
        <f t="shared" si="7"/>
        <v>364</v>
      </c>
      <c r="G80">
        <f t="shared" si="8"/>
        <v>0</v>
      </c>
      <c r="H80">
        <f t="shared" si="9"/>
        <v>0</v>
      </c>
      <c r="I80">
        <f t="shared" si="10"/>
        <v>373</v>
      </c>
      <c r="J80">
        <f t="shared" si="11"/>
        <v>0</v>
      </c>
    </row>
    <row r="81" spans="1:10" x14ac:dyDescent="0.25">
      <c r="A81" s="7">
        <v>44031</v>
      </c>
      <c r="B81" s="4">
        <v>486</v>
      </c>
      <c r="C81" s="4">
        <v>323</v>
      </c>
      <c r="D81" s="5">
        <v>359</v>
      </c>
      <c r="E81" s="14">
        <f t="shared" si="6"/>
        <v>59</v>
      </c>
      <c r="F81">
        <f t="shared" si="7"/>
        <v>0</v>
      </c>
      <c r="G81">
        <f t="shared" si="8"/>
        <v>359</v>
      </c>
      <c r="H81">
        <f t="shared" si="9"/>
        <v>687</v>
      </c>
      <c r="I81">
        <f t="shared" si="10"/>
        <v>0</v>
      </c>
      <c r="J81">
        <f t="shared" si="11"/>
        <v>0</v>
      </c>
    </row>
    <row r="82" spans="1:10" x14ac:dyDescent="0.25">
      <c r="A82" s="6">
        <v>44032</v>
      </c>
      <c r="B82" s="2">
        <v>360</v>
      </c>
      <c r="C82" s="2">
        <v>331</v>
      </c>
      <c r="D82" s="3">
        <v>445</v>
      </c>
      <c r="E82" s="14">
        <f t="shared" si="6"/>
        <v>0</v>
      </c>
      <c r="F82">
        <f t="shared" si="7"/>
        <v>331</v>
      </c>
      <c r="G82">
        <f t="shared" si="8"/>
        <v>385</v>
      </c>
      <c r="H82">
        <f t="shared" si="9"/>
        <v>0</v>
      </c>
      <c r="I82">
        <f t="shared" si="10"/>
        <v>419</v>
      </c>
      <c r="J82">
        <f t="shared" si="11"/>
        <v>0</v>
      </c>
    </row>
    <row r="83" spans="1:10" x14ac:dyDescent="0.25">
      <c r="A83" s="7">
        <v>44033</v>
      </c>
      <c r="B83" s="4">
        <v>391</v>
      </c>
      <c r="C83" s="4">
        <v>455</v>
      </c>
      <c r="D83" s="5">
        <v>427</v>
      </c>
      <c r="E83" s="14">
        <f t="shared" si="6"/>
        <v>391</v>
      </c>
      <c r="F83">
        <f t="shared" si="7"/>
        <v>0</v>
      </c>
      <c r="G83">
        <f t="shared" si="8"/>
        <v>26</v>
      </c>
      <c r="H83">
        <f t="shared" si="9"/>
        <v>0</v>
      </c>
      <c r="I83">
        <f t="shared" si="10"/>
        <v>0</v>
      </c>
      <c r="J83">
        <f t="shared" si="11"/>
        <v>786</v>
      </c>
    </row>
    <row r="84" spans="1:10" x14ac:dyDescent="0.25">
      <c r="A84" s="6">
        <v>44034</v>
      </c>
      <c r="B84" s="2">
        <v>327</v>
      </c>
      <c r="C84" s="2">
        <v>471</v>
      </c>
      <c r="D84" s="3">
        <v>423</v>
      </c>
      <c r="E84" s="14">
        <f t="shared" si="6"/>
        <v>247</v>
      </c>
      <c r="F84">
        <f t="shared" si="7"/>
        <v>0</v>
      </c>
      <c r="G84">
        <f t="shared" si="8"/>
        <v>449</v>
      </c>
      <c r="H84">
        <f t="shared" si="9"/>
        <v>471</v>
      </c>
      <c r="I84">
        <f t="shared" si="10"/>
        <v>0</v>
      </c>
      <c r="J84">
        <f t="shared" si="11"/>
        <v>0</v>
      </c>
    </row>
    <row r="85" spans="1:10" x14ac:dyDescent="0.25">
      <c r="A85" s="7">
        <v>44035</v>
      </c>
      <c r="B85" s="4">
        <v>355</v>
      </c>
      <c r="C85" s="4">
        <v>490</v>
      </c>
      <c r="D85" s="5">
        <v>449</v>
      </c>
      <c r="E85" s="14">
        <f t="shared" si="6"/>
        <v>0</v>
      </c>
      <c r="F85">
        <f t="shared" si="7"/>
        <v>490</v>
      </c>
      <c r="G85">
        <f t="shared" si="8"/>
        <v>296</v>
      </c>
      <c r="H85">
        <f t="shared" si="9"/>
        <v>0</v>
      </c>
      <c r="I85">
        <f t="shared" si="10"/>
        <v>602</v>
      </c>
      <c r="J85">
        <f t="shared" si="11"/>
        <v>0</v>
      </c>
    </row>
    <row r="86" spans="1:10" x14ac:dyDescent="0.25">
      <c r="A86" s="6">
        <v>44036</v>
      </c>
      <c r="B86" s="2">
        <v>360</v>
      </c>
      <c r="C86" s="2">
        <v>339</v>
      </c>
      <c r="D86" s="3">
        <v>470</v>
      </c>
      <c r="E86" s="14">
        <f t="shared" si="6"/>
        <v>360</v>
      </c>
      <c r="F86">
        <f t="shared" si="7"/>
        <v>63</v>
      </c>
      <c r="G86">
        <f t="shared" si="8"/>
        <v>0</v>
      </c>
      <c r="H86">
        <f t="shared" si="9"/>
        <v>0</v>
      </c>
      <c r="I86">
        <f t="shared" si="10"/>
        <v>0</v>
      </c>
      <c r="J86">
        <f t="shared" si="11"/>
        <v>766</v>
      </c>
    </row>
    <row r="87" spans="1:10" x14ac:dyDescent="0.25">
      <c r="A87" s="7">
        <v>44037</v>
      </c>
      <c r="B87" s="4">
        <v>303</v>
      </c>
      <c r="C87" s="4">
        <v>404</v>
      </c>
      <c r="D87" s="5">
        <v>434</v>
      </c>
      <c r="E87" s="14">
        <f t="shared" si="6"/>
        <v>196</v>
      </c>
      <c r="F87">
        <f t="shared" si="7"/>
        <v>0</v>
      </c>
      <c r="G87">
        <f t="shared" si="8"/>
        <v>434</v>
      </c>
      <c r="H87">
        <f t="shared" si="9"/>
        <v>467</v>
      </c>
      <c r="I87">
        <f t="shared" si="10"/>
        <v>0</v>
      </c>
      <c r="J87">
        <f t="shared" si="11"/>
        <v>0</v>
      </c>
    </row>
    <row r="88" spans="1:10" x14ac:dyDescent="0.25">
      <c r="A88" s="6">
        <v>44038</v>
      </c>
      <c r="B88" s="2">
        <v>310</v>
      </c>
      <c r="C88" s="2">
        <v>332</v>
      </c>
      <c r="D88" s="3">
        <v>536</v>
      </c>
      <c r="E88" s="14">
        <f t="shared" si="6"/>
        <v>0</v>
      </c>
      <c r="F88">
        <f t="shared" si="7"/>
        <v>332</v>
      </c>
      <c r="G88">
        <f t="shared" si="8"/>
        <v>464</v>
      </c>
      <c r="H88">
        <f t="shared" si="9"/>
        <v>0</v>
      </c>
      <c r="I88">
        <f t="shared" si="10"/>
        <v>506</v>
      </c>
      <c r="J88">
        <f t="shared" si="11"/>
        <v>0</v>
      </c>
    </row>
    <row r="89" spans="1:10" x14ac:dyDescent="0.25">
      <c r="A89" s="7">
        <v>44039</v>
      </c>
      <c r="B89" s="4">
        <v>435</v>
      </c>
      <c r="C89" s="4">
        <v>406</v>
      </c>
      <c r="D89" s="5">
        <v>421</v>
      </c>
      <c r="E89" s="14">
        <f t="shared" si="6"/>
        <v>435</v>
      </c>
      <c r="F89">
        <f t="shared" si="7"/>
        <v>0</v>
      </c>
      <c r="G89">
        <f t="shared" si="8"/>
        <v>147</v>
      </c>
      <c r="H89">
        <f t="shared" si="9"/>
        <v>0</v>
      </c>
      <c r="I89">
        <f t="shared" si="10"/>
        <v>0</v>
      </c>
      <c r="J89">
        <f t="shared" si="11"/>
        <v>738</v>
      </c>
    </row>
    <row r="90" spans="1:10" x14ac:dyDescent="0.25">
      <c r="A90" s="6">
        <v>44040</v>
      </c>
      <c r="B90" s="2">
        <v>344</v>
      </c>
      <c r="C90" s="2">
        <v>348</v>
      </c>
      <c r="D90" s="3">
        <v>555</v>
      </c>
      <c r="E90" s="14">
        <f t="shared" si="6"/>
        <v>77</v>
      </c>
      <c r="F90">
        <f t="shared" si="7"/>
        <v>348</v>
      </c>
      <c r="G90">
        <f t="shared" si="8"/>
        <v>0</v>
      </c>
      <c r="H90">
        <f t="shared" si="9"/>
        <v>0</v>
      </c>
      <c r="I90">
        <f t="shared" si="10"/>
        <v>702</v>
      </c>
      <c r="J90">
        <f t="shared" si="11"/>
        <v>0</v>
      </c>
    </row>
    <row r="91" spans="1:10" x14ac:dyDescent="0.25">
      <c r="A91" s="7">
        <v>44041</v>
      </c>
      <c r="B91" s="4">
        <v>303</v>
      </c>
      <c r="C91" s="4">
        <v>335</v>
      </c>
      <c r="D91" s="5">
        <v>436</v>
      </c>
      <c r="E91" s="14">
        <f t="shared" si="6"/>
        <v>380</v>
      </c>
      <c r="F91">
        <f t="shared" si="7"/>
        <v>247</v>
      </c>
      <c r="G91">
        <f t="shared" si="8"/>
        <v>0</v>
      </c>
      <c r="H91">
        <f t="shared" si="9"/>
        <v>0</v>
      </c>
      <c r="I91">
        <f t="shared" si="10"/>
        <v>0</v>
      </c>
      <c r="J91">
        <f t="shared" si="11"/>
        <v>436</v>
      </c>
    </row>
    <row r="92" spans="1:10" x14ac:dyDescent="0.25">
      <c r="A92" s="6">
        <v>44042</v>
      </c>
      <c r="B92" s="2">
        <v>433</v>
      </c>
      <c r="C92" s="2">
        <v>425</v>
      </c>
      <c r="D92" s="3">
        <v>422</v>
      </c>
      <c r="E92" s="14">
        <f t="shared" si="6"/>
        <v>141</v>
      </c>
      <c r="F92">
        <f t="shared" si="7"/>
        <v>0</v>
      </c>
      <c r="G92">
        <f t="shared" si="8"/>
        <v>422</v>
      </c>
      <c r="H92">
        <f t="shared" si="9"/>
        <v>672</v>
      </c>
      <c r="I92">
        <f t="shared" si="10"/>
        <v>0</v>
      </c>
      <c r="J92">
        <f t="shared" si="11"/>
        <v>0</v>
      </c>
    </row>
    <row r="93" spans="1:10" x14ac:dyDescent="0.25">
      <c r="A93" s="7">
        <v>44043</v>
      </c>
      <c r="B93" s="4">
        <v>350</v>
      </c>
      <c r="C93" s="4">
        <v>378</v>
      </c>
      <c r="D93" s="5">
        <v>419</v>
      </c>
      <c r="E93" s="14">
        <f t="shared" si="6"/>
        <v>0</v>
      </c>
      <c r="F93">
        <f t="shared" si="7"/>
        <v>378</v>
      </c>
      <c r="G93">
        <f t="shared" si="8"/>
        <v>350</v>
      </c>
      <c r="H93">
        <f t="shared" si="9"/>
        <v>0</v>
      </c>
      <c r="I93">
        <f t="shared" si="10"/>
        <v>491</v>
      </c>
      <c r="J93">
        <f t="shared" si="11"/>
        <v>0</v>
      </c>
    </row>
    <row r="94" spans="1:10" x14ac:dyDescent="0.25">
      <c r="A94" s="6">
        <v>44044</v>
      </c>
      <c r="B94" s="2">
        <v>396</v>
      </c>
      <c r="C94" s="2">
        <v>466</v>
      </c>
      <c r="D94" s="3">
        <v>434</v>
      </c>
      <c r="E94" s="14">
        <f t="shared" si="6"/>
        <v>396</v>
      </c>
      <c r="F94">
        <f t="shared" si="7"/>
        <v>60</v>
      </c>
      <c r="G94">
        <f t="shared" si="8"/>
        <v>0</v>
      </c>
      <c r="H94">
        <f t="shared" si="9"/>
        <v>0</v>
      </c>
      <c r="I94">
        <f t="shared" si="10"/>
        <v>0</v>
      </c>
      <c r="J94">
        <f t="shared" si="11"/>
        <v>784</v>
      </c>
    </row>
    <row r="95" spans="1:10" x14ac:dyDescent="0.25">
      <c r="A95" s="7">
        <v>44045</v>
      </c>
      <c r="B95" s="4">
        <v>495</v>
      </c>
      <c r="C95" s="4">
        <v>410</v>
      </c>
      <c r="D95" s="5">
        <v>418</v>
      </c>
      <c r="E95" s="14">
        <f t="shared" si="6"/>
        <v>421</v>
      </c>
      <c r="F95">
        <f t="shared" si="7"/>
        <v>0</v>
      </c>
      <c r="G95">
        <f t="shared" si="8"/>
        <v>418</v>
      </c>
      <c r="H95">
        <f t="shared" si="9"/>
        <v>470</v>
      </c>
      <c r="I95">
        <f t="shared" si="10"/>
        <v>0</v>
      </c>
      <c r="J95">
        <f t="shared" si="11"/>
        <v>0</v>
      </c>
    </row>
    <row r="96" spans="1:10" x14ac:dyDescent="0.25">
      <c r="A96" s="6">
        <v>44046</v>
      </c>
      <c r="B96" s="2">
        <v>420</v>
      </c>
      <c r="C96" s="2">
        <v>328</v>
      </c>
      <c r="D96" s="3">
        <v>422</v>
      </c>
      <c r="E96" s="14">
        <f t="shared" si="6"/>
        <v>1</v>
      </c>
      <c r="F96">
        <f t="shared" si="7"/>
        <v>328</v>
      </c>
      <c r="G96">
        <f t="shared" si="8"/>
        <v>0</v>
      </c>
      <c r="H96">
        <f t="shared" si="9"/>
        <v>0</v>
      </c>
      <c r="I96">
        <f t="shared" si="10"/>
        <v>840</v>
      </c>
      <c r="J96">
        <f t="shared" si="11"/>
        <v>0</v>
      </c>
    </row>
    <row r="97" spans="1:10" x14ac:dyDescent="0.25">
      <c r="A97" s="7">
        <v>44047</v>
      </c>
      <c r="B97" s="4">
        <v>411</v>
      </c>
      <c r="C97" s="4">
        <v>481</v>
      </c>
      <c r="D97" s="5">
        <v>445</v>
      </c>
      <c r="E97" s="14">
        <f t="shared" si="6"/>
        <v>412</v>
      </c>
      <c r="F97">
        <f t="shared" si="7"/>
        <v>364</v>
      </c>
      <c r="G97">
        <f t="shared" si="8"/>
        <v>0</v>
      </c>
      <c r="H97">
        <f t="shared" si="9"/>
        <v>0</v>
      </c>
      <c r="I97">
        <f t="shared" si="10"/>
        <v>0</v>
      </c>
      <c r="J97">
        <f t="shared" si="11"/>
        <v>445</v>
      </c>
    </row>
    <row r="98" spans="1:10" x14ac:dyDescent="0.25">
      <c r="A98" s="6">
        <v>44048</v>
      </c>
      <c r="B98" s="2">
        <v>317</v>
      </c>
      <c r="C98" s="2">
        <v>434</v>
      </c>
      <c r="D98" s="3">
        <v>411</v>
      </c>
      <c r="E98" s="14">
        <f t="shared" si="6"/>
        <v>0</v>
      </c>
      <c r="F98">
        <f t="shared" si="7"/>
        <v>69</v>
      </c>
      <c r="G98">
        <f t="shared" si="8"/>
        <v>411</v>
      </c>
      <c r="H98">
        <f t="shared" si="9"/>
        <v>729</v>
      </c>
      <c r="I98">
        <f t="shared" si="10"/>
        <v>0</v>
      </c>
      <c r="J98">
        <f t="shared" si="11"/>
        <v>0</v>
      </c>
    </row>
    <row r="99" spans="1:10" x14ac:dyDescent="0.25">
      <c r="A99" s="7">
        <v>44049</v>
      </c>
      <c r="B99" s="4">
        <v>342</v>
      </c>
      <c r="C99" s="4">
        <v>465</v>
      </c>
      <c r="D99" s="5">
        <v>417</v>
      </c>
      <c r="E99" s="14">
        <f t="shared" si="6"/>
        <v>342</v>
      </c>
      <c r="F99">
        <f t="shared" si="7"/>
        <v>0</v>
      </c>
      <c r="G99">
        <f t="shared" si="8"/>
        <v>294</v>
      </c>
      <c r="H99">
        <f t="shared" si="9"/>
        <v>0</v>
      </c>
      <c r="I99">
        <f t="shared" si="10"/>
        <v>0</v>
      </c>
      <c r="J99">
        <f t="shared" si="11"/>
        <v>534</v>
      </c>
    </row>
    <row r="100" spans="1:10" x14ac:dyDescent="0.25">
      <c r="A100" s="6">
        <v>44050</v>
      </c>
      <c r="B100" s="2">
        <v>450</v>
      </c>
      <c r="C100" s="2">
        <v>318</v>
      </c>
      <c r="D100" s="3">
        <v>490</v>
      </c>
      <c r="E100" s="14">
        <f t="shared" si="6"/>
        <v>8</v>
      </c>
      <c r="F100">
        <f t="shared" si="7"/>
        <v>318</v>
      </c>
      <c r="G100">
        <f t="shared" si="8"/>
        <v>0</v>
      </c>
      <c r="H100">
        <f t="shared" si="9"/>
        <v>0</v>
      </c>
      <c r="I100">
        <f t="shared" si="10"/>
        <v>784</v>
      </c>
      <c r="J100">
        <f t="shared" si="11"/>
        <v>0</v>
      </c>
    </row>
    <row r="101" spans="1:10" x14ac:dyDescent="0.25">
      <c r="A101" s="7">
        <v>44051</v>
      </c>
      <c r="B101" s="4">
        <v>343</v>
      </c>
      <c r="C101" s="4">
        <v>329</v>
      </c>
      <c r="D101" s="5">
        <v>345</v>
      </c>
      <c r="E101" s="14">
        <f t="shared" si="6"/>
        <v>0</v>
      </c>
      <c r="F101">
        <f t="shared" si="7"/>
        <v>296</v>
      </c>
      <c r="G101">
        <f t="shared" si="8"/>
        <v>345</v>
      </c>
      <c r="H101">
        <f t="shared" si="9"/>
        <v>351</v>
      </c>
      <c r="I101">
        <f t="shared" si="10"/>
        <v>0</v>
      </c>
      <c r="J101">
        <f t="shared" si="11"/>
        <v>0</v>
      </c>
    </row>
    <row r="102" spans="1:10" x14ac:dyDescent="0.25">
      <c r="A102" s="6">
        <v>44052</v>
      </c>
      <c r="B102" s="2">
        <v>287</v>
      </c>
      <c r="C102" s="2">
        <v>328</v>
      </c>
      <c r="D102" s="3">
        <v>377</v>
      </c>
      <c r="E102" s="14">
        <f t="shared" si="6"/>
        <v>287</v>
      </c>
      <c r="F102">
        <f t="shared" si="7"/>
        <v>0</v>
      </c>
      <c r="G102">
        <f t="shared" si="8"/>
        <v>98</v>
      </c>
      <c r="H102">
        <f t="shared" si="9"/>
        <v>0</v>
      </c>
      <c r="I102">
        <f t="shared" si="10"/>
        <v>0</v>
      </c>
      <c r="J102">
        <f t="shared" si="11"/>
        <v>624</v>
      </c>
    </row>
    <row r="103" spans="1:10" x14ac:dyDescent="0.25">
      <c r="A103" s="7">
        <v>44053</v>
      </c>
      <c r="B103" s="4">
        <v>298</v>
      </c>
      <c r="C103" s="4">
        <v>401</v>
      </c>
      <c r="D103" s="5">
        <v>416</v>
      </c>
      <c r="E103" s="14">
        <f t="shared" si="6"/>
        <v>71</v>
      </c>
      <c r="F103">
        <f t="shared" si="7"/>
        <v>401</v>
      </c>
      <c r="G103">
        <f t="shared" si="8"/>
        <v>0</v>
      </c>
      <c r="H103">
        <f t="shared" si="9"/>
        <v>0</v>
      </c>
      <c r="I103">
        <f t="shared" si="10"/>
        <v>514</v>
      </c>
      <c r="J103">
        <f t="shared" si="11"/>
        <v>0</v>
      </c>
    </row>
    <row r="104" spans="1:10" x14ac:dyDescent="0.25">
      <c r="A104" s="6">
        <v>44054</v>
      </c>
      <c r="B104" s="2">
        <v>429</v>
      </c>
      <c r="C104" s="2">
        <v>348</v>
      </c>
      <c r="D104" s="3">
        <v>426</v>
      </c>
      <c r="E104" s="14">
        <f t="shared" si="6"/>
        <v>0</v>
      </c>
      <c r="F104">
        <f t="shared" si="7"/>
        <v>249</v>
      </c>
      <c r="G104">
        <f t="shared" si="8"/>
        <v>426</v>
      </c>
      <c r="H104">
        <f t="shared" si="9"/>
        <v>500</v>
      </c>
      <c r="I104">
        <f t="shared" si="10"/>
        <v>0</v>
      </c>
      <c r="J104">
        <f t="shared" si="11"/>
        <v>0</v>
      </c>
    </row>
    <row r="105" spans="1:10" x14ac:dyDescent="0.25">
      <c r="A105" s="7">
        <v>44055</v>
      </c>
      <c r="B105" s="4">
        <v>417</v>
      </c>
      <c r="C105" s="4">
        <v>457</v>
      </c>
      <c r="D105" s="5">
        <v>438</v>
      </c>
      <c r="E105" s="14">
        <f t="shared" si="6"/>
        <v>417</v>
      </c>
      <c r="F105">
        <f t="shared" si="7"/>
        <v>0</v>
      </c>
      <c r="G105">
        <f t="shared" si="8"/>
        <v>158</v>
      </c>
      <c r="H105">
        <f t="shared" si="9"/>
        <v>0</v>
      </c>
      <c r="I105">
        <f t="shared" si="10"/>
        <v>0</v>
      </c>
      <c r="J105">
        <f t="shared" si="11"/>
        <v>706</v>
      </c>
    </row>
    <row r="106" spans="1:10" x14ac:dyDescent="0.25">
      <c r="A106" s="6">
        <v>44056</v>
      </c>
      <c r="B106" s="2">
        <v>384</v>
      </c>
      <c r="C106" s="2">
        <v>330</v>
      </c>
      <c r="D106" s="3">
        <v>292</v>
      </c>
      <c r="E106" s="14">
        <f t="shared" si="6"/>
        <v>351</v>
      </c>
      <c r="F106">
        <f t="shared" si="7"/>
        <v>330</v>
      </c>
      <c r="G106">
        <f t="shared" si="8"/>
        <v>0</v>
      </c>
      <c r="H106">
        <f t="shared" si="9"/>
        <v>0</v>
      </c>
      <c r="I106">
        <f t="shared" si="10"/>
        <v>450</v>
      </c>
      <c r="J106">
        <f t="shared" si="11"/>
        <v>0</v>
      </c>
    </row>
    <row r="107" spans="1:10" x14ac:dyDescent="0.25">
      <c r="A107" s="7">
        <v>44057</v>
      </c>
      <c r="B107" s="4">
        <v>370</v>
      </c>
      <c r="C107" s="4">
        <v>388</v>
      </c>
      <c r="D107" s="5">
        <v>390</v>
      </c>
      <c r="E107" s="14">
        <f t="shared" si="6"/>
        <v>3</v>
      </c>
      <c r="F107">
        <f t="shared" si="7"/>
        <v>0</v>
      </c>
      <c r="G107">
        <f t="shared" si="8"/>
        <v>390</v>
      </c>
      <c r="H107">
        <f t="shared" si="9"/>
        <v>718</v>
      </c>
      <c r="I107">
        <f t="shared" si="10"/>
        <v>0</v>
      </c>
      <c r="J107">
        <f t="shared" si="11"/>
        <v>0</v>
      </c>
    </row>
    <row r="108" spans="1:10" x14ac:dyDescent="0.25">
      <c r="A108" s="6">
        <v>44058</v>
      </c>
      <c r="B108" s="2">
        <v>436</v>
      </c>
      <c r="C108" s="2">
        <v>298</v>
      </c>
      <c r="D108" s="3">
        <v>420</v>
      </c>
      <c r="E108" s="14">
        <f t="shared" si="6"/>
        <v>0</v>
      </c>
      <c r="F108">
        <f t="shared" si="7"/>
        <v>298</v>
      </c>
      <c r="G108">
        <f t="shared" si="8"/>
        <v>371</v>
      </c>
      <c r="H108">
        <f t="shared" si="9"/>
        <v>0</v>
      </c>
      <c r="I108">
        <f t="shared" si="10"/>
        <v>439</v>
      </c>
      <c r="J108">
        <f t="shared" si="11"/>
        <v>0</v>
      </c>
    </row>
    <row r="109" spans="1:10" x14ac:dyDescent="0.25">
      <c r="A109" s="7">
        <v>44059</v>
      </c>
      <c r="B109" s="4">
        <v>303</v>
      </c>
      <c r="C109" s="4">
        <v>429</v>
      </c>
      <c r="D109" s="5">
        <v>407</v>
      </c>
      <c r="E109" s="14">
        <f t="shared" si="6"/>
        <v>303</v>
      </c>
      <c r="F109">
        <f t="shared" si="7"/>
        <v>0</v>
      </c>
      <c r="G109">
        <f t="shared" si="8"/>
        <v>51</v>
      </c>
      <c r="H109">
        <f t="shared" si="9"/>
        <v>0</v>
      </c>
      <c r="I109">
        <f t="shared" si="10"/>
        <v>0</v>
      </c>
      <c r="J109">
        <f t="shared" si="11"/>
        <v>727</v>
      </c>
    </row>
    <row r="110" spans="1:10" x14ac:dyDescent="0.25">
      <c r="A110" s="6">
        <v>44060</v>
      </c>
      <c r="B110" s="2">
        <v>449</v>
      </c>
      <c r="C110" s="2">
        <v>444</v>
      </c>
      <c r="D110" s="3">
        <v>425</v>
      </c>
      <c r="E110" s="14">
        <f t="shared" si="6"/>
        <v>276</v>
      </c>
      <c r="F110">
        <f t="shared" si="7"/>
        <v>444</v>
      </c>
      <c r="G110">
        <f t="shared" si="8"/>
        <v>0</v>
      </c>
      <c r="H110">
        <f t="shared" si="9"/>
        <v>0</v>
      </c>
      <c r="I110">
        <f t="shared" si="10"/>
        <v>476</v>
      </c>
      <c r="J110">
        <f t="shared" si="11"/>
        <v>0</v>
      </c>
    </row>
    <row r="111" spans="1:10" x14ac:dyDescent="0.25">
      <c r="A111" s="7">
        <v>44061</v>
      </c>
      <c r="B111" s="4">
        <v>300</v>
      </c>
      <c r="C111" s="4">
        <v>358</v>
      </c>
      <c r="D111" s="5">
        <v>377</v>
      </c>
      <c r="E111" s="14">
        <f t="shared" si="6"/>
        <v>0</v>
      </c>
      <c r="F111">
        <f t="shared" si="7"/>
        <v>226</v>
      </c>
      <c r="G111">
        <f t="shared" si="8"/>
        <v>377</v>
      </c>
      <c r="H111">
        <f t="shared" si="9"/>
        <v>576</v>
      </c>
      <c r="I111">
        <f t="shared" si="10"/>
        <v>0</v>
      </c>
      <c r="J111">
        <f t="shared" si="11"/>
        <v>0</v>
      </c>
    </row>
    <row r="112" spans="1:10" x14ac:dyDescent="0.25">
      <c r="A112" s="6">
        <v>44062</v>
      </c>
      <c r="B112" s="2">
        <v>307</v>
      </c>
      <c r="C112" s="2">
        <v>417</v>
      </c>
      <c r="D112" s="3">
        <v>405</v>
      </c>
      <c r="E112" s="14">
        <f t="shared" si="6"/>
        <v>307</v>
      </c>
      <c r="F112">
        <f t="shared" si="7"/>
        <v>0</v>
      </c>
      <c r="G112">
        <f t="shared" si="8"/>
        <v>139</v>
      </c>
      <c r="H112">
        <f t="shared" si="9"/>
        <v>0</v>
      </c>
      <c r="I112">
        <f t="shared" si="10"/>
        <v>0</v>
      </c>
      <c r="J112">
        <f t="shared" si="11"/>
        <v>643</v>
      </c>
    </row>
    <row r="113" spans="1:10" x14ac:dyDescent="0.25">
      <c r="A113" s="7">
        <v>44063</v>
      </c>
      <c r="B113" s="4">
        <v>314</v>
      </c>
      <c r="C113" s="4">
        <v>340</v>
      </c>
      <c r="D113" s="5">
        <v>345</v>
      </c>
      <c r="E113" s="14">
        <f t="shared" si="6"/>
        <v>137</v>
      </c>
      <c r="F113">
        <f t="shared" si="7"/>
        <v>340</v>
      </c>
      <c r="G113">
        <f t="shared" si="8"/>
        <v>0</v>
      </c>
      <c r="H113">
        <f t="shared" si="9"/>
        <v>0</v>
      </c>
      <c r="I113">
        <f t="shared" si="10"/>
        <v>484</v>
      </c>
      <c r="J113">
        <f t="shared" si="11"/>
        <v>0</v>
      </c>
    </row>
    <row r="114" spans="1:10" x14ac:dyDescent="0.25">
      <c r="A114" s="6">
        <v>44064</v>
      </c>
      <c r="B114" s="2">
        <v>379</v>
      </c>
      <c r="C114" s="2">
        <v>288</v>
      </c>
      <c r="D114" s="3">
        <v>353</v>
      </c>
      <c r="E114" s="14">
        <f t="shared" si="6"/>
        <v>0</v>
      </c>
      <c r="F114">
        <f t="shared" si="7"/>
        <v>112</v>
      </c>
      <c r="G114">
        <f t="shared" si="8"/>
        <v>353</v>
      </c>
      <c r="H114">
        <f t="shared" si="9"/>
        <v>516</v>
      </c>
      <c r="I114">
        <f t="shared" si="10"/>
        <v>0</v>
      </c>
      <c r="J114">
        <f t="shared" si="11"/>
        <v>0</v>
      </c>
    </row>
    <row r="115" spans="1:10" x14ac:dyDescent="0.25">
      <c r="A115" s="7">
        <v>44065</v>
      </c>
      <c r="B115" s="4">
        <v>405</v>
      </c>
      <c r="C115" s="4">
        <v>454</v>
      </c>
      <c r="D115" s="5">
        <v>342</v>
      </c>
      <c r="E115" s="14">
        <f t="shared" si="6"/>
        <v>405</v>
      </c>
      <c r="F115">
        <f t="shared" si="7"/>
        <v>0</v>
      </c>
      <c r="G115">
        <f t="shared" si="8"/>
        <v>129</v>
      </c>
      <c r="H115">
        <f t="shared" si="9"/>
        <v>0</v>
      </c>
      <c r="I115">
        <f t="shared" si="10"/>
        <v>0</v>
      </c>
      <c r="J115">
        <f t="shared" si="11"/>
        <v>566</v>
      </c>
    </row>
    <row r="116" spans="1:10" x14ac:dyDescent="0.25">
      <c r="A116" s="6">
        <v>44066</v>
      </c>
      <c r="B116" s="2">
        <v>407</v>
      </c>
      <c r="C116" s="2">
        <v>300</v>
      </c>
      <c r="D116" s="3">
        <v>365</v>
      </c>
      <c r="E116" s="14">
        <f t="shared" si="6"/>
        <v>318</v>
      </c>
      <c r="F116">
        <f t="shared" si="7"/>
        <v>300</v>
      </c>
      <c r="G116">
        <f t="shared" si="8"/>
        <v>0</v>
      </c>
      <c r="H116">
        <f t="shared" si="9"/>
        <v>0</v>
      </c>
      <c r="I116">
        <f t="shared" si="10"/>
        <v>494</v>
      </c>
      <c r="J116">
        <f t="shared" si="11"/>
        <v>0</v>
      </c>
    </row>
    <row r="117" spans="1:10" x14ac:dyDescent="0.25">
      <c r="A117" s="7">
        <v>44067</v>
      </c>
      <c r="B117" s="4">
        <v>432</v>
      </c>
      <c r="C117" s="4">
        <v>423</v>
      </c>
      <c r="D117" s="5">
        <v>221</v>
      </c>
      <c r="E117" s="14">
        <f t="shared" si="6"/>
        <v>27</v>
      </c>
      <c r="F117">
        <f t="shared" si="7"/>
        <v>0</v>
      </c>
      <c r="G117">
        <f t="shared" si="8"/>
        <v>221</v>
      </c>
      <c r="H117">
        <f t="shared" si="9"/>
        <v>723</v>
      </c>
      <c r="I117">
        <f t="shared" si="10"/>
        <v>0</v>
      </c>
      <c r="J117">
        <f t="shared" si="11"/>
        <v>0</v>
      </c>
    </row>
    <row r="118" spans="1:10" x14ac:dyDescent="0.25">
      <c r="A118" s="6">
        <v>44068</v>
      </c>
      <c r="B118" s="2">
        <v>405</v>
      </c>
      <c r="C118" s="2">
        <v>449</v>
      </c>
      <c r="D118" s="3">
        <v>231</v>
      </c>
      <c r="E118" s="14">
        <f t="shared" si="6"/>
        <v>432</v>
      </c>
      <c r="F118">
        <f t="shared" si="7"/>
        <v>0</v>
      </c>
      <c r="G118">
        <f t="shared" si="8"/>
        <v>3</v>
      </c>
      <c r="H118">
        <f t="shared" si="9"/>
        <v>0</v>
      </c>
      <c r="I118">
        <f t="shared" si="10"/>
        <v>0</v>
      </c>
      <c r="J118">
        <f t="shared" si="11"/>
        <v>449</v>
      </c>
    </row>
    <row r="119" spans="1:10" x14ac:dyDescent="0.25">
      <c r="A119" s="7">
        <v>44069</v>
      </c>
      <c r="B119" s="4">
        <v>162</v>
      </c>
      <c r="C119" s="4">
        <v>294</v>
      </c>
      <c r="D119" s="5">
        <v>255</v>
      </c>
      <c r="E119" s="14">
        <f t="shared" si="6"/>
        <v>300</v>
      </c>
      <c r="F119">
        <f t="shared" si="7"/>
        <v>0</v>
      </c>
      <c r="G119">
        <f t="shared" si="8"/>
        <v>258</v>
      </c>
      <c r="H119">
        <f t="shared" si="9"/>
        <v>294</v>
      </c>
      <c r="I119">
        <f t="shared" si="10"/>
        <v>0</v>
      </c>
      <c r="J119">
        <f t="shared" si="11"/>
        <v>0</v>
      </c>
    </row>
    <row r="120" spans="1:10" x14ac:dyDescent="0.25">
      <c r="A120" s="6">
        <v>44070</v>
      </c>
      <c r="B120" s="2">
        <v>297</v>
      </c>
      <c r="C120" s="2">
        <v>341</v>
      </c>
      <c r="D120" s="3">
        <v>223</v>
      </c>
      <c r="E120" s="14">
        <f t="shared" si="6"/>
        <v>116</v>
      </c>
      <c r="F120">
        <f t="shared" si="7"/>
        <v>341</v>
      </c>
      <c r="G120">
        <f t="shared" si="8"/>
        <v>0</v>
      </c>
      <c r="H120">
        <f t="shared" si="9"/>
        <v>0</v>
      </c>
      <c r="I120">
        <f t="shared" si="10"/>
        <v>481</v>
      </c>
      <c r="J120">
        <f t="shared" si="11"/>
        <v>0</v>
      </c>
    </row>
    <row r="121" spans="1:10" x14ac:dyDescent="0.25">
      <c r="A121" s="7">
        <v>44071</v>
      </c>
      <c r="B121" s="4">
        <v>226</v>
      </c>
      <c r="C121" s="4">
        <v>329</v>
      </c>
      <c r="D121" s="5">
        <v>261</v>
      </c>
      <c r="E121" s="14">
        <f t="shared" si="6"/>
        <v>0</v>
      </c>
      <c r="F121">
        <f t="shared" si="7"/>
        <v>328</v>
      </c>
      <c r="G121">
        <f t="shared" si="8"/>
        <v>261</v>
      </c>
      <c r="H121">
        <f t="shared" si="9"/>
        <v>342</v>
      </c>
      <c r="I121">
        <f t="shared" si="10"/>
        <v>0</v>
      </c>
      <c r="J121">
        <f t="shared" si="11"/>
        <v>0</v>
      </c>
    </row>
    <row r="122" spans="1:10" x14ac:dyDescent="0.25">
      <c r="A122" s="6">
        <v>44072</v>
      </c>
      <c r="B122" s="2">
        <v>226</v>
      </c>
      <c r="C122" s="2">
        <v>256</v>
      </c>
      <c r="D122" s="3">
        <v>239</v>
      </c>
      <c r="E122" s="14">
        <f t="shared" si="6"/>
        <v>226</v>
      </c>
      <c r="F122">
        <f t="shared" si="7"/>
        <v>84</v>
      </c>
      <c r="G122">
        <f t="shared" si="8"/>
        <v>0</v>
      </c>
      <c r="H122">
        <f t="shared" si="9"/>
        <v>0</v>
      </c>
      <c r="I122">
        <f t="shared" si="10"/>
        <v>0</v>
      </c>
      <c r="J122">
        <f t="shared" si="11"/>
        <v>500</v>
      </c>
    </row>
    <row r="123" spans="1:10" x14ac:dyDescent="0.25">
      <c r="A123" s="7">
        <v>44073</v>
      </c>
      <c r="B123" s="4">
        <v>287</v>
      </c>
      <c r="C123" s="4">
        <v>217</v>
      </c>
      <c r="D123" s="5">
        <v>262</v>
      </c>
      <c r="E123" s="14">
        <f t="shared" si="6"/>
        <v>212</v>
      </c>
      <c r="F123">
        <f t="shared" si="7"/>
        <v>0</v>
      </c>
      <c r="G123">
        <f t="shared" si="8"/>
        <v>262</v>
      </c>
      <c r="H123">
        <f t="shared" si="9"/>
        <v>301</v>
      </c>
      <c r="I123">
        <f t="shared" si="10"/>
        <v>0</v>
      </c>
      <c r="J123">
        <f t="shared" si="11"/>
        <v>0</v>
      </c>
    </row>
    <row r="124" spans="1:10" x14ac:dyDescent="0.25">
      <c r="A124" s="6">
        <v>44074</v>
      </c>
      <c r="B124" s="2">
        <v>351</v>
      </c>
      <c r="C124" s="2">
        <v>266</v>
      </c>
      <c r="D124" s="3">
        <v>226</v>
      </c>
      <c r="E124" s="14">
        <f t="shared" si="6"/>
        <v>75</v>
      </c>
      <c r="F124">
        <f t="shared" si="7"/>
        <v>266</v>
      </c>
      <c r="G124">
        <f t="shared" si="8"/>
        <v>0</v>
      </c>
      <c r="H124">
        <f t="shared" si="9"/>
        <v>0</v>
      </c>
      <c r="I124">
        <f t="shared" si="10"/>
        <v>488</v>
      </c>
      <c r="J124">
        <f t="shared" si="11"/>
        <v>0</v>
      </c>
    </row>
    <row r="125" spans="1:10" x14ac:dyDescent="0.25">
      <c r="A125" s="7">
        <v>44075</v>
      </c>
      <c r="B125" s="4">
        <v>214</v>
      </c>
      <c r="C125" s="4">
        <v>260</v>
      </c>
      <c r="D125" s="5">
        <v>241</v>
      </c>
      <c r="E125" s="14">
        <f t="shared" si="6"/>
        <v>0</v>
      </c>
      <c r="F125">
        <f t="shared" si="7"/>
        <v>237</v>
      </c>
      <c r="G125">
        <f t="shared" si="8"/>
        <v>241</v>
      </c>
      <c r="H125">
        <f t="shared" si="9"/>
        <v>289</v>
      </c>
      <c r="I125">
        <f t="shared" si="10"/>
        <v>0</v>
      </c>
      <c r="J125">
        <f t="shared" si="11"/>
        <v>0</v>
      </c>
    </row>
    <row r="126" spans="1:10" x14ac:dyDescent="0.25">
      <c r="A126" s="6">
        <v>44076</v>
      </c>
      <c r="B126" s="2">
        <v>282</v>
      </c>
      <c r="C126" s="2">
        <v>227</v>
      </c>
      <c r="D126" s="3">
        <v>258</v>
      </c>
      <c r="E126" s="14">
        <f t="shared" si="6"/>
        <v>282</v>
      </c>
      <c r="F126">
        <f t="shared" si="7"/>
        <v>0</v>
      </c>
      <c r="G126">
        <f t="shared" si="8"/>
        <v>35</v>
      </c>
      <c r="H126">
        <f t="shared" si="9"/>
        <v>0</v>
      </c>
      <c r="I126">
        <f t="shared" si="10"/>
        <v>0</v>
      </c>
      <c r="J126">
        <f t="shared" si="11"/>
        <v>464</v>
      </c>
    </row>
    <row r="127" spans="1:10" x14ac:dyDescent="0.25">
      <c r="A127" s="7">
        <v>44077</v>
      </c>
      <c r="B127" s="4">
        <v>257</v>
      </c>
      <c r="C127" s="4">
        <v>251</v>
      </c>
      <c r="D127" s="5">
        <v>252</v>
      </c>
      <c r="E127" s="14">
        <f t="shared" si="6"/>
        <v>252</v>
      </c>
      <c r="F127">
        <f t="shared" si="7"/>
        <v>251</v>
      </c>
      <c r="G127">
        <f t="shared" si="8"/>
        <v>0</v>
      </c>
      <c r="H127">
        <f t="shared" si="9"/>
        <v>0</v>
      </c>
      <c r="I127">
        <f t="shared" si="10"/>
        <v>287</v>
      </c>
      <c r="J127">
        <f t="shared" si="11"/>
        <v>0</v>
      </c>
    </row>
    <row r="128" spans="1:10" x14ac:dyDescent="0.25">
      <c r="A128" s="6">
        <v>44078</v>
      </c>
      <c r="B128" s="2">
        <v>172</v>
      </c>
      <c r="C128" s="2">
        <v>171</v>
      </c>
      <c r="D128" s="3">
        <v>268</v>
      </c>
      <c r="E128" s="14">
        <f t="shared" si="6"/>
        <v>2</v>
      </c>
      <c r="F128">
        <f t="shared" si="7"/>
        <v>0</v>
      </c>
      <c r="G128">
        <f t="shared" si="8"/>
        <v>268</v>
      </c>
      <c r="H128">
        <f t="shared" si="9"/>
        <v>422</v>
      </c>
      <c r="I128">
        <f t="shared" si="10"/>
        <v>0</v>
      </c>
      <c r="J128">
        <f t="shared" si="11"/>
        <v>0</v>
      </c>
    </row>
    <row r="129" spans="1:10" x14ac:dyDescent="0.25">
      <c r="A129" s="7">
        <v>44079</v>
      </c>
      <c r="B129" s="4">
        <v>197</v>
      </c>
      <c r="C129" s="4">
        <v>326</v>
      </c>
      <c r="D129" s="5">
        <v>224</v>
      </c>
      <c r="E129" s="14">
        <f t="shared" si="6"/>
        <v>199</v>
      </c>
      <c r="F129">
        <f t="shared" si="7"/>
        <v>0</v>
      </c>
      <c r="G129">
        <f t="shared" si="8"/>
        <v>166</v>
      </c>
      <c r="H129">
        <f t="shared" si="9"/>
        <v>0</v>
      </c>
      <c r="I129">
        <f t="shared" si="10"/>
        <v>0</v>
      </c>
      <c r="J129">
        <f t="shared" si="11"/>
        <v>326</v>
      </c>
    </row>
    <row r="130" spans="1:10" x14ac:dyDescent="0.25">
      <c r="A130" s="6">
        <v>44080</v>
      </c>
      <c r="B130" s="2">
        <v>292</v>
      </c>
      <c r="C130" s="2">
        <v>329</v>
      </c>
      <c r="D130" s="3">
        <v>255</v>
      </c>
      <c r="E130" s="14">
        <f t="shared" si="6"/>
        <v>70</v>
      </c>
      <c r="F130">
        <f t="shared" si="7"/>
        <v>329</v>
      </c>
      <c r="G130">
        <f t="shared" si="8"/>
        <v>0</v>
      </c>
      <c r="H130">
        <f t="shared" si="9"/>
        <v>0</v>
      </c>
      <c r="I130">
        <f t="shared" si="10"/>
        <v>421</v>
      </c>
      <c r="J130">
        <f t="shared" si="11"/>
        <v>0</v>
      </c>
    </row>
    <row r="131" spans="1:10" x14ac:dyDescent="0.25">
      <c r="A131" s="7">
        <v>44081</v>
      </c>
      <c r="B131" s="4">
        <v>172</v>
      </c>
      <c r="C131" s="4">
        <v>216</v>
      </c>
      <c r="D131" s="5">
        <v>199</v>
      </c>
      <c r="E131" s="14">
        <f t="shared" si="6"/>
        <v>0</v>
      </c>
      <c r="F131">
        <f t="shared" si="7"/>
        <v>303</v>
      </c>
      <c r="G131">
        <f t="shared" si="8"/>
        <v>199</v>
      </c>
      <c r="H131">
        <f t="shared" si="9"/>
        <v>242</v>
      </c>
      <c r="I131">
        <f t="shared" si="10"/>
        <v>0</v>
      </c>
      <c r="J131">
        <f t="shared" si="11"/>
        <v>0</v>
      </c>
    </row>
    <row r="132" spans="1:10" x14ac:dyDescent="0.25">
      <c r="A132" s="6">
        <v>44082</v>
      </c>
      <c r="B132" s="2">
        <v>258</v>
      </c>
      <c r="C132" s="2">
        <v>291</v>
      </c>
      <c r="D132" s="3">
        <v>220</v>
      </c>
      <c r="E132" s="14">
        <f t="shared" ref="E132:E154" si="12">B132+E131-H132-I132</f>
        <v>258</v>
      </c>
      <c r="F132">
        <f t="shared" ref="F132:F154" si="13">C132-H132-J132+F131</f>
        <v>175</v>
      </c>
      <c r="G132">
        <f t="shared" ref="G132:G154" si="14">D132-I132-J132+G131</f>
        <v>0</v>
      </c>
      <c r="H132">
        <f t="shared" ref="H132:H154" si="15">IF(AND(C132+F131&gt;D132+G131,B132+E131&gt;D132+G131),MIN(B132+E131,C132+F131),0)</f>
        <v>0</v>
      </c>
      <c r="I132">
        <f t="shared" ref="I132:I154" si="16">IF(AND(D132+G131&gt;C132+F131,B132+E131&gt;F131+C132),MIN(B132+E131,D132+G131),0)</f>
        <v>0</v>
      </c>
      <c r="J132">
        <f t="shared" ref="J132:J154" si="17">IF(AND(D132+G131&gt;B132+E131,F131+C132&gt;B132+E131),MIN(F131+C132,D132+G131),0)</f>
        <v>419</v>
      </c>
    </row>
    <row r="133" spans="1:10" x14ac:dyDescent="0.25">
      <c r="A133" s="7">
        <v>44083</v>
      </c>
      <c r="B133" s="4">
        <v>276</v>
      </c>
      <c r="C133" s="4">
        <v>347</v>
      </c>
      <c r="D133" s="5">
        <v>197</v>
      </c>
      <c r="E133" s="14">
        <f t="shared" si="12"/>
        <v>12</v>
      </c>
      <c r="F133">
        <f t="shared" si="13"/>
        <v>0</v>
      </c>
      <c r="G133">
        <f t="shared" si="14"/>
        <v>197</v>
      </c>
      <c r="H133">
        <f t="shared" si="15"/>
        <v>522</v>
      </c>
      <c r="I133">
        <f t="shared" si="16"/>
        <v>0</v>
      </c>
      <c r="J133">
        <f t="shared" si="17"/>
        <v>0</v>
      </c>
    </row>
    <row r="134" spans="1:10" x14ac:dyDescent="0.25">
      <c r="A134" s="6">
        <v>44084</v>
      </c>
      <c r="B134" s="2">
        <v>210</v>
      </c>
      <c r="C134" s="2">
        <v>333</v>
      </c>
      <c r="D134" s="3">
        <v>218</v>
      </c>
      <c r="E134" s="14">
        <f t="shared" si="12"/>
        <v>222</v>
      </c>
      <c r="F134">
        <f t="shared" si="13"/>
        <v>0</v>
      </c>
      <c r="G134">
        <f t="shared" si="14"/>
        <v>82</v>
      </c>
      <c r="H134">
        <f t="shared" si="15"/>
        <v>0</v>
      </c>
      <c r="I134">
        <f t="shared" si="16"/>
        <v>0</v>
      </c>
      <c r="J134">
        <f t="shared" si="17"/>
        <v>333</v>
      </c>
    </row>
    <row r="135" spans="1:10" x14ac:dyDescent="0.25">
      <c r="A135" s="7">
        <v>44085</v>
      </c>
      <c r="B135" s="4">
        <v>168</v>
      </c>
      <c r="C135" s="4">
        <v>211</v>
      </c>
      <c r="D135" s="5">
        <v>180</v>
      </c>
      <c r="E135" s="14">
        <f t="shared" si="12"/>
        <v>128</v>
      </c>
      <c r="F135">
        <f t="shared" si="13"/>
        <v>211</v>
      </c>
      <c r="G135">
        <f t="shared" si="14"/>
        <v>0</v>
      </c>
      <c r="H135">
        <f t="shared" si="15"/>
        <v>0</v>
      </c>
      <c r="I135">
        <f t="shared" si="16"/>
        <v>262</v>
      </c>
      <c r="J135">
        <f t="shared" si="17"/>
        <v>0</v>
      </c>
    </row>
    <row r="136" spans="1:10" x14ac:dyDescent="0.25">
      <c r="A136" s="6">
        <v>44086</v>
      </c>
      <c r="B136" s="2">
        <v>196</v>
      </c>
      <c r="C136" s="2">
        <v>348</v>
      </c>
      <c r="D136" s="3">
        <v>225</v>
      </c>
      <c r="E136" s="14">
        <f t="shared" si="12"/>
        <v>0</v>
      </c>
      <c r="F136">
        <f t="shared" si="13"/>
        <v>235</v>
      </c>
      <c r="G136">
        <f t="shared" si="14"/>
        <v>225</v>
      </c>
      <c r="H136">
        <f t="shared" si="15"/>
        <v>324</v>
      </c>
      <c r="I136">
        <f t="shared" si="16"/>
        <v>0</v>
      </c>
      <c r="J136">
        <f t="shared" si="17"/>
        <v>0</v>
      </c>
    </row>
    <row r="137" spans="1:10" x14ac:dyDescent="0.25">
      <c r="A137" s="7">
        <v>44087</v>
      </c>
      <c r="B137" s="4">
        <v>284</v>
      </c>
      <c r="C137" s="4">
        <v>226</v>
      </c>
      <c r="D137" s="5">
        <v>197</v>
      </c>
      <c r="E137" s="14">
        <f t="shared" si="12"/>
        <v>284</v>
      </c>
      <c r="F137">
        <f t="shared" si="13"/>
        <v>39</v>
      </c>
      <c r="G137">
        <f t="shared" si="14"/>
        <v>0</v>
      </c>
      <c r="H137">
        <f t="shared" si="15"/>
        <v>0</v>
      </c>
      <c r="I137">
        <f t="shared" si="16"/>
        <v>0</v>
      </c>
      <c r="J137">
        <f t="shared" si="17"/>
        <v>422</v>
      </c>
    </row>
    <row r="138" spans="1:10" x14ac:dyDescent="0.25">
      <c r="A138" s="6">
        <v>44088</v>
      </c>
      <c r="B138" s="2">
        <v>162</v>
      </c>
      <c r="C138" s="2">
        <v>345</v>
      </c>
      <c r="D138" s="3">
        <v>194</v>
      </c>
      <c r="E138" s="14">
        <f t="shared" si="12"/>
        <v>62</v>
      </c>
      <c r="F138">
        <f t="shared" si="13"/>
        <v>0</v>
      </c>
      <c r="G138">
        <f t="shared" si="14"/>
        <v>194</v>
      </c>
      <c r="H138">
        <f t="shared" si="15"/>
        <v>384</v>
      </c>
      <c r="I138">
        <f t="shared" si="16"/>
        <v>0</v>
      </c>
      <c r="J138">
        <f t="shared" si="17"/>
        <v>0</v>
      </c>
    </row>
    <row r="139" spans="1:10" x14ac:dyDescent="0.25">
      <c r="A139" s="7">
        <v>44089</v>
      </c>
      <c r="B139" s="4">
        <v>212</v>
      </c>
      <c r="C139" s="4">
        <v>184</v>
      </c>
      <c r="D139" s="5">
        <v>183</v>
      </c>
      <c r="E139" s="14">
        <f t="shared" si="12"/>
        <v>0</v>
      </c>
      <c r="F139">
        <f t="shared" si="13"/>
        <v>184</v>
      </c>
      <c r="G139">
        <f t="shared" si="14"/>
        <v>103</v>
      </c>
      <c r="H139">
        <f t="shared" si="15"/>
        <v>0</v>
      </c>
      <c r="I139">
        <f t="shared" si="16"/>
        <v>274</v>
      </c>
      <c r="J139">
        <f t="shared" si="17"/>
        <v>0</v>
      </c>
    </row>
    <row r="140" spans="1:10" x14ac:dyDescent="0.25">
      <c r="A140" s="6">
        <v>44090</v>
      </c>
      <c r="B140" s="2">
        <v>165</v>
      </c>
      <c r="C140" s="2">
        <v>232</v>
      </c>
      <c r="D140" s="3">
        <v>202</v>
      </c>
      <c r="E140" s="14">
        <f t="shared" si="12"/>
        <v>165</v>
      </c>
      <c r="F140">
        <f t="shared" si="13"/>
        <v>111</v>
      </c>
      <c r="G140">
        <f t="shared" si="14"/>
        <v>0</v>
      </c>
      <c r="H140">
        <f t="shared" si="15"/>
        <v>0</v>
      </c>
      <c r="I140">
        <f t="shared" si="16"/>
        <v>0</v>
      </c>
      <c r="J140">
        <f t="shared" si="17"/>
        <v>305</v>
      </c>
    </row>
    <row r="141" spans="1:10" x14ac:dyDescent="0.25">
      <c r="A141" s="7">
        <v>44091</v>
      </c>
      <c r="B141" s="4">
        <v>163</v>
      </c>
      <c r="C141" s="4">
        <v>314</v>
      </c>
      <c r="D141" s="5">
        <v>213</v>
      </c>
      <c r="E141" s="14">
        <f t="shared" si="12"/>
        <v>0</v>
      </c>
      <c r="F141">
        <f t="shared" si="13"/>
        <v>97</v>
      </c>
      <c r="G141">
        <f t="shared" si="14"/>
        <v>213</v>
      </c>
      <c r="H141">
        <f t="shared" si="15"/>
        <v>328</v>
      </c>
      <c r="I141">
        <f t="shared" si="16"/>
        <v>0</v>
      </c>
      <c r="J141">
        <f t="shared" si="17"/>
        <v>0</v>
      </c>
    </row>
    <row r="142" spans="1:10" x14ac:dyDescent="0.25">
      <c r="A142" s="6">
        <v>44092</v>
      </c>
      <c r="B142" s="2">
        <v>200</v>
      </c>
      <c r="C142" s="2">
        <v>307</v>
      </c>
      <c r="D142" s="3">
        <v>206</v>
      </c>
      <c r="E142" s="14">
        <f t="shared" si="12"/>
        <v>200</v>
      </c>
      <c r="F142">
        <f t="shared" si="13"/>
        <v>0</v>
      </c>
      <c r="G142">
        <f t="shared" si="14"/>
        <v>15</v>
      </c>
      <c r="H142">
        <f t="shared" si="15"/>
        <v>0</v>
      </c>
      <c r="I142">
        <f t="shared" si="16"/>
        <v>0</v>
      </c>
      <c r="J142">
        <f t="shared" si="17"/>
        <v>404</v>
      </c>
    </row>
    <row r="143" spans="1:10" x14ac:dyDescent="0.25">
      <c r="A143" s="7">
        <v>44093</v>
      </c>
      <c r="B143" s="4">
        <v>201</v>
      </c>
      <c r="C143" s="4">
        <v>274</v>
      </c>
      <c r="D143" s="5">
        <v>210</v>
      </c>
      <c r="E143" s="14">
        <f t="shared" si="12"/>
        <v>127</v>
      </c>
      <c r="F143">
        <f t="shared" si="13"/>
        <v>0</v>
      </c>
      <c r="G143">
        <f t="shared" si="14"/>
        <v>225</v>
      </c>
      <c r="H143">
        <f t="shared" si="15"/>
        <v>274</v>
      </c>
      <c r="I143">
        <f t="shared" si="16"/>
        <v>0</v>
      </c>
      <c r="J143">
        <f t="shared" si="17"/>
        <v>0</v>
      </c>
    </row>
    <row r="144" spans="1:10" x14ac:dyDescent="0.25">
      <c r="A144" s="6">
        <v>44094</v>
      </c>
      <c r="B144" s="2">
        <v>269</v>
      </c>
      <c r="C144" s="2">
        <v>278</v>
      </c>
      <c r="D144" s="3">
        <v>228</v>
      </c>
      <c r="E144" s="14">
        <f t="shared" si="12"/>
        <v>0</v>
      </c>
      <c r="F144">
        <f t="shared" si="13"/>
        <v>278</v>
      </c>
      <c r="G144">
        <f t="shared" si="14"/>
        <v>57</v>
      </c>
      <c r="H144">
        <f t="shared" si="15"/>
        <v>0</v>
      </c>
      <c r="I144">
        <f t="shared" si="16"/>
        <v>396</v>
      </c>
      <c r="J144">
        <f t="shared" si="17"/>
        <v>0</v>
      </c>
    </row>
    <row r="145" spans="1:10" x14ac:dyDescent="0.25">
      <c r="A145" s="7">
        <v>44095</v>
      </c>
      <c r="B145" s="4">
        <v>188</v>
      </c>
      <c r="C145" s="4">
        <v>195</v>
      </c>
      <c r="D145" s="5">
        <v>207</v>
      </c>
      <c r="E145" s="14">
        <f t="shared" si="12"/>
        <v>188</v>
      </c>
      <c r="F145">
        <f t="shared" si="13"/>
        <v>209</v>
      </c>
      <c r="G145">
        <f t="shared" si="14"/>
        <v>0</v>
      </c>
      <c r="H145">
        <f t="shared" si="15"/>
        <v>0</v>
      </c>
      <c r="I145">
        <f t="shared" si="16"/>
        <v>0</v>
      </c>
      <c r="J145">
        <f t="shared" si="17"/>
        <v>264</v>
      </c>
    </row>
    <row r="146" spans="1:10" x14ac:dyDescent="0.25">
      <c r="A146" s="6">
        <v>44096</v>
      </c>
      <c r="B146" s="2">
        <v>142</v>
      </c>
      <c r="C146" s="2">
        <v>249</v>
      </c>
      <c r="D146" s="3">
        <v>202</v>
      </c>
      <c r="E146" s="14">
        <f t="shared" si="12"/>
        <v>0</v>
      </c>
      <c r="F146">
        <f t="shared" si="13"/>
        <v>128</v>
      </c>
      <c r="G146">
        <f t="shared" si="14"/>
        <v>202</v>
      </c>
      <c r="H146">
        <f t="shared" si="15"/>
        <v>330</v>
      </c>
      <c r="I146">
        <f t="shared" si="16"/>
        <v>0</v>
      </c>
      <c r="J146">
        <f t="shared" si="17"/>
        <v>0</v>
      </c>
    </row>
    <row r="147" spans="1:10" x14ac:dyDescent="0.25">
      <c r="A147" s="7">
        <v>44097</v>
      </c>
      <c r="B147" s="4">
        <v>232</v>
      </c>
      <c r="C147" s="4">
        <v>116</v>
      </c>
      <c r="D147" s="5">
        <v>195</v>
      </c>
      <c r="E147" s="14">
        <f t="shared" si="12"/>
        <v>232</v>
      </c>
      <c r="F147">
        <f t="shared" si="13"/>
        <v>0</v>
      </c>
      <c r="G147">
        <f t="shared" si="14"/>
        <v>153</v>
      </c>
      <c r="H147">
        <f t="shared" si="15"/>
        <v>0</v>
      </c>
      <c r="I147">
        <f t="shared" si="16"/>
        <v>0</v>
      </c>
      <c r="J147">
        <f t="shared" si="17"/>
        <v>244</v>
      </c>
    </row>
    <row r="148" spans="1:10" x14ac:dyDescent="0.25">
      <c r="A148" s="6">
        <v>44098</v>
      </c>
      <c r="B148" s="2">
        <v>296</v>
      </c>
      <c r="C148" s="2">
        <v>102</v>
      </c>
      <c r="D148" s="3">
        <v>192</v>
      </c>
      <c r="E148" s="14">
        <f t="shared" si="12"/>
        <v>183</v>
      </c>
      <c r="F148">
        <f t="shared" si="13"/>
        <v>102</v>
      </c>
      <c r="G148">
        <f t="shared" si="14"/>
        <v>0</v>
      </c>
      <c r="H148">
        <f t="shared" si="15"/>
        <v>0</v>
      </c>
      <c r="I148">
        <f t="shared" si="16"/>
        <v>345</v>
      </c>
      <c r="J148">
        <f t="shared" si="17"/>
        <v>0</v>
      </c>
    </row>
    <row r="149" spans="1:10" x14ac:dyDescent="0.25">
      <c r="A149" s="7">
        <v>44099</v>
      </c>
      <c r="B149" s="4">
        <v>161</v>
      </c>
      <c r="C149" s="4">
        <v>151</v>
      </c>
      <c r="D149" s="5">
        <v>216</v>
      </c>
      <c r="E149" s="14">
        <f t="shared" si="12"/>
        <v>91</v>
      </c>
      <c r="F149">
        <f t="shared" si="13"/>
        <v>0</v>
      </c>
      <c r="G149">
        <f t="shared" si="14"/>
        <v>216</v>
      </c>
      <c r="H149">
        <f t="shared" si="15"/>
        <v>253</v>
      </c>
      <c r="I149">
        <f t="shared" si="16"/>
        <v>0</v>
      </c>
      <c r="J149">
        <f t="shared" si="17"/>
        <v>0</v>
      </c>
    </row>
    <row r="150" spans="1:10" x14ac:dyDescent="0.25">
      <c r="A150" s="6">
        <v>44100</v>
      </c>
      <c r="B150" s="2">
        <v>162</v>
      </c>
      <c r="C150" s="2">
        <v>261</v>
      </c>
      <c r="D150" s="3">
        <v>184</v>
      </c>
      <c r="E150" s="14">
        <f t="shared" si="12"/>
        <v>253</v>
      </c>
      <c r="F150">
        <f t="shared" si="13"/>
        <v>0</v>
      </c>
      <c r="G150">
        <f t="shared" si="14"/>
        <v>139</v>
      </c>
      <c r="H150">
        <f t="shared" si="15"/>
        <v>0</v>
      </c>
      <c r="I150">
        <f t="shared" si="16"/>
        <v>0</v>
      </c>
      <c r="J150">
        <f t="shared" si="17"/>
        <v>261</v>
      </c>
    </row>
    <row r="151" spans="1:10" x14ac:dyDescent="0.25">
      <c r="A151" s="7">
        <v>44101</v>
      </c>
      <c r="B151" s="4">
        <v>216</v>
      </c>
      <c r="C151" s="4">
        <v>147</v>
      </c>
      <c r="D151" s="5">
        <v>204</v>
      </c>
      <c r="E151" s="14">
        <f t="shared" si="12"/>
        <v>126</v>
      </c>
      <c r="F151">
        <f t="shared" si="13"/>
        <v>147</v>
      </c>
      <c r="G151">
        <f t="shared" si="14"/>
        <v>0</v>
      </c>
      <c r="H151">
        <f t="shared" si="15"/>
        <v>0</v>
      </c>
      <c r="I151">
        <f t="shared" si="16"/>
        <v>343</v>
      </c>
      <c r="J151">
        <f t="shared" si="17"/>
        <v>0</v>
      </c>
    </row>
    <row r="152" spans="1:10" x14ac:dyDescent="0.25">
      <c r="A152" s="6">
        <v>44102</v>
      </c>
      <c r="B152" s="2">
        <v>282</v>
      </c>
      <c r="C152" s="2">
        <v>297</v>
      </c>
      <c r="D152" s="3">
        <v>195</v>
      </c>
      <c r="E152" s="14">
        <f t="shared" si="12"/>
        <v>0</v>
      </c>
      <c r="F152">
        <f t="shared" si="13"/>
        <v>36</v>
      </c>
      <c r="G152">
        <f t="shared" si="14"/>
        <v>195</v>
      </c>
      <c r="H152">
        <f t="shared" si="15"/>
        <v>408</v>
      </c>
      <c r="I152">
        <f t="shared" si="16"/>
        <v>0</v>
      </c>
      <c r="J152">
        <f t="shared" si="17"/>
        <v>0</v>
      </c>
    </row>
    <row r="153" spans="1:10" x14ac:dyDescent="0.25">
      <c r="A153" s="7">
        <v>44103</v>
      </c>
      <c r="B153" s="4">
        <v>214</v>
      </c>
      <c r="C153" s="4">
        <v>198</v>
      </c>
      <c r="D153" s="5">
        <v>200</v>
      </c>
      <c r="E153" s="14">
        <f t="shared" si="12"/>
        <v>214</v>
      </c>
      <c r="F153">
        <f t="shared" si="13"/>
        <v>0</v>
      </c>
      <c r="G153">
        <f t="shared" si="14"/>
        <v>161</v>
      </c>
      <c r="H153">
        <f t="shared" si="15"/>
        <v>0</v>
      </c>
      <c r="I153">
        <f t="shared" si="16"/>
        <v>0</v>
      </c>
      <c r="J153">
        <f t="shared" si="17"/>
        <v>234</v>
      </c>
    </row>
    <row r="154" spans="1:10" x14ac:dyDescent="0.25">
      <c r="A154" s="6">
        <v>44104</v>
      </c>
      <c r="B154" s="2">
        <v>289</v>
      </c>
      <c r="C154" s="2">
        <v>290</v>
      </c>
      <c r="D154" s="3">
        <v>190</v>
      </c>
      <c r="E154" s="14">
        <f t="shared" si="12"/>
        <v>152</v>
      </c>
      <c r="F154">
        <f t="shared" si="13"/>
        <v>290</v>
      </c>
      <c r="G154">
        <f t="shared" si="14"/>
        <v>0</v>
      </c>
      <c r="H154">
        <f t="shared" si="15"/>
        <v>0</v>
      </c>
      <c r="I154">
        <f t="shared" si="16"/>
        <v>351</v>
      </c>
      <c r="J154">
        <f t="shared" si="17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A44F51-5549-4CE8-AA65-75D4AE4D3D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owoce</vt:lpstr>
      <vt:lpstr>6.1</vt:lpstr>
      <vt:lpstr>Suma 6.2</vt:lpstr>
      <vt:lpstr>6.3 i 6.4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Mikołaj Banaszak</dc:creator>
  <cp:lastModifiedBy>Mikołaj Banaszak</cp:lastModifiedBy>
  <dcterms:created xsi:type="dcterms:W3CDTF">2025-11-13T17:59:55Z</dcterms:created>
  <dcterms:modified xsi:type="dcterms:W3CDTF">2025-11-13T19:03:02Z</dcterms:modified>
</cp:coreProperties>
</file>